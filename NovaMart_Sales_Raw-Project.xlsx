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ta-analyst-projects\novamart-sales-excel\"/>
    </mc:Choice>
  </mc:AlternateContent>
  <xr:revisionPtr revIDLastSave="0" documentId="13_ncr:1_{2D607786-32F0-491B-BD18-B765D6150C9E}" xr6:coauthVersionLast="47" xr6:coauthVersionMax="47" xr10:uidLastSave="{00000000-0000-0000-0000-000000000000}"/>
  <bookViews>
    <workbookView xWindow="-108" yWindow="-108" windowWidth="23256" windowHeight="12456" activeTab="5" xr2:uid="{00000000-000D-0000-FFFF-FFFF00000000}"/>
  </bookViews>
  <sheets>
    <sheet name="Pivot1" sheetId="5" r:id="rId1"/>
    <sheet name="Pivot2" sheetId="7" r:id="rId2"/>
    <sheet name="Pivot3" sheetId="10" r:id="rId3"/>
    <sheet name="SalesData" sheetId="3" r:id="rId4"/>
    <sheet name="Dashboard" sheetId="12" r:id="rId5"/>
    <sheet name="Summary" sheetId="4" r:id="rId6"/>
    <sheet name="Raw Sales Data" sheetId="1" r:id="rId7"/>
  </sheets>
  <definedNames>
    <definedName name="Slicer_Quarter">#N/A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2" l="1"/>
  <c r="E13" i="4"/>
  <c r="E14" i="4"/>
  <c r="E15" i="4"/>
  <c r="E16" i="4"/>
  <c r="E17" i="4"/>
  <c r="E12" i="4"/>
  <c r="J2" i="4"/>
  <c r="B12" i="4"/>
  <c r="J3" i="4"/>
  <c r="J4" i="4"/>
  <c r="J5" i="4"/>
  <c r="J6" i="4"/>
  <c r="J7" i="4"/>
  <c r="J8" i="4"/>
  <c r="B3" i="4"/>
  <c r="D13" i="4"/>
  <c r="D16" i="4"/>
  <c r="D17" i="4"/>
  <c r="C13" i="4"/>
  <c r="C14" i="4"/>
  <c r="D14" i="4" s="1"/>
  <c r="C15" i="4"/>
  <c r="D15" i="4" s="1"/>
  <c r="C16" i="4"/>
  <c r="C17" i="4"/>
  <c r="C12" i="4"/>
  <c r="D12" i="4" s="1"/>
  <c r="B13" i="4"/>
  <c r="B14" i="4"/>
  <c r="B15" i="4"/>
  <c r="B20" i="4" s="1"/>
  <c r="B16" i="4"/>
  <c r="B17" i="4"/>
  <c r="E3" i="4"/>
  <c r="E4" i="4"/>
  <c r="E5" i="4"/>
  <c r="E6" i="4"/>
  <c r="E7" i="4"/>
  <c r="E8" i="4"/>
  <c r="E2" i="4"/>
  <c r="B4" i="4"/>
  <c r="B5" i="4"/>
  <c r="B2" i="4"/>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H5" i="4" l="1"/>
  <c r="H4" i="4"/>
  <c r="H3" i="4"/>
  <c r="G7" i="4"/>
  <c r="G6" i="4"/>
  <c r="G5" i="4"/>
  <c r="G4" i="4"/>
  <c r="G3" i="4"/>
  <c r="H2" i="4"/>
  <c r="H8" i="4"/>
  <c r="H7" i="4"/>
  <c r="H6" i="4"/>
  <c r="F3" i="4"/>
  <c r="G2" i="4"/>
  <c r="G8" i="4"/>
  <c r="I4" i="4"/>
  <c r="F2" i="4"/>
  <c r="F8" i="4"/>
  <c r="F7" i="4"/>
  <c r="F6" i="4"/>
  <c r="F5" i="4"/>
  <c r="F4" i="4"/>
  <c r="I3" i="4" l="1"/>
  <c r="I5" i="4"/>
  <c r="I6" i="4"/>
  <c r="I2" i="4"/>
  <c r="I8" i="4"/>
  <c r="I7" i="4"/>
</calcChain>
</file>

<file path=xl/sharedStrings.xml><?xml version="1.0" encoding="utf-8"?>
<sst xmlns="http://schemas.openxmlformats.org/spreadsheetml/2006/main" count="545" uniqueCount="138">
  <si>
    <t>Order ID</t>
  </si>
  <si>
    <t>Date</t>
  </si>
  <si>
    <t>Sales Rep</t>
  </si>
  <si>
    <t>Region</t>
  </si>
  <si>
    <t>Product</t>
  </si>
  <si>
    <t>Category</t>
  </si>
  <si>
    <t>Units Sold</t>
  </si>
  <si>
    <t>Unit Price</t>
  </si>
  <si>
    <t>Total Revenue</t>
  </si>
  <si>
    <t>Target</t>
  </si>
  <si>
    <t>ORD-001</t>
  </si>
  <si>
    <t>2024-01-05</t>
  </si>
  <si>
    <t>Amit Sharma</t>
  </si>
  <si>
    <t>North</t>
  </si>
  <si>
    <t>Laptop Pro</t>
  </si>
  <si>
    <t>Electronics</t>
  </si>
  <si>
    <t>ORD-002</t>
  </si>
  <si>
    <t>05/01/2024</t>
  </si>
  <si>
    <t>Priya Nair</t>
  </si>
  <si>
    <t>south</t>
  </si>
  <si>
    <t>Office Chair</t>
  </si>
  <si>
    <t>Furniture</t>
  </si>
  <si>
    <t>ORD-003</t>
  </si>
  <si>
    <t>2024-01-12</t>
  </si>
  <si>
    <t>Rahul Verma</t>
  </si>
  <si>
    <t>East</t>
  </si>
  <si>
    <t>ORD-004</t>
  </si>
  <si>
    <t>January 15, 2024</t>
  </si>
  <si>
    <t>amit sharma</t>
  </si>
  <si>
    <t>Desk Lamp</t>
  </si>
  <si>
    <t>Accessories</t>
  </si>
  <si>
    <t>ORD-005</t>
  </si>
  <si>
    <t>2024-01-20</t>
  </si>
  <si>
    <t>Sneha Patel</t>
  </si>
  <si>
    <t>WEST</t>
  </si>
  <si>
    <t>Monitor HD</t>
  </si>
  <si>
    <t>ORD-006</t>
  </si>
  <si>
    <t>2024-01-22</t>
  </si>
  <si>
    <t>South</t>
  </si>
  <si>
    <t>ORD-007</t>
  </si>
  <si>
    <t>2024-02-03</t>
  </si>
  <si>
    <t xml:space="preserve">East </t>
  </si>
  <si>
    <t>ORD-008</t>
  </si>
  <si>
    <t>2024-02-07</t>
  </si>
  <si>
    <t>ORD-009</t>
  </si>
  <si>
    <t>07-02-2024</t>
  </si>
  <si>
    <t>Karan Mehta</t>
  </si>
  <si>
    <t>West</t>
  </si>
  <si>
    <t>Keyboard</t>
  </si>
  <si>
    <t>ORD-010</t>
  </si>
  <si>
    <t>2024-02-14</t>
  </si>
  <si>
    <t>Electroniics</t>
  </si>
  <si>
    <t>ORD-011</t>
  </si>
  <si>
    <t>2024-02-18</t>
  </si>
  <si>
    <t>ORD-012</t>
  </si>
  <si>
    <t>2024-02-25</t>
  </si>
  <si>
    <t>ORD-013</t>
  </si>
  <si>
    <t>2024-03-02</t>
  </si>
  <si>
    <t>north</t>
  </si>
  <si>
    <t>ORD-014</t>
  </si>
  <si>
    <t>2024-03-08</t>
  </si>
  <si>
    <t>ORD-015</t>
  </si>
  <si>
    <t>2024-03-10</t>
  </si>
  <si>
    <t>SNEHA PATEL</t>
  </si>
  <si>
    <t>ORD-016</t>
  </si>
  <si>
    <t>2024-03-15</t>
  </si>
  <si>
    <t>ORD-017</t>
  </si>
  <si>
    <t>2024-03-20</t>
  </si>
  <si>
    <t>ORD-018</t>
  </si>
  <si>
    <t>20-03-2024</t>
  </si>
  <si>
    <t>ORD-019</t>
  </si>
  <si>
    <t>2024-04-02</t>
  </si>
  <si>
    <t>ORD-020</t>
  </si>
  <si>
    <t>2024-04-06</t>
  </si>
  <si>
    <t>ORD-021</t>
  </si>
  <si>
    <t>2024-04-11</t>
  </si>
  <si>
    <t>ORD-022</t>
  </si>
  <si>
    <t>2024-04-15</t>
  </si>
  <si>
    <t>ORD-023</t>
  </si>
  <si>
    <t>2024-04-20</t>
  </si>
  <si>
    <t>ORD-024</t>
  </si>
  <si>
    <t>2024-04-25</t>
  </si>
  <si>
    <t>Furnitur</t>
  </si>
  <si>
    <t>ORD-025</t>
  </si>
  <si>
    <t>2024-05-03</t>
  </si>
  <si>
    <t>ORD-026</t>
  </si>
  <si>
    <t>2024-05-09</t>
  </si>
  <si>
    <t xml:space="preserve"> West</t>
  </si>
  <si>
    <t>ORD-027</t>
  </si>
  <si>
    <t>2024-05-14</t>
  </si>
  <si>
    <t>ORD-028</t>
  </si>
  <si>
    <t>2024-05-19</t>
  </si>
  <si>
    <t>ORD-029</t>
  </si>
  <si>
    <t>May 22 2024</t>
  </si>
  <si>
    <t>ORD-030</t>
  </si>
  <si>
    <t>2024-05-28</t>
  </si>
  <si>
    <t>ORD-031</t>
  </si>
  <si>
    <t>2024-06-04</t>
  </si>
  <si>
    <t>ORD-032</t>
  </si>
  <si>
    <t>2024-06-10</t>
  </si>
  <si>
    <t>ORD-033</t>
  </si>
  <si>
    <t>2024-06-16</t>
  </si>
  <si>
    <t>ORD-034</t>
  </si>
  <si>
    <t>2024-06-21</t>
  </si>
  <si>
    <t>ORD-035</t>
  </si>
  <si>
    <t>2024-06-27</t>
  </si>
  <si>
    <t>ORD-036</t>
  </si>
  <si>
    <t>ORD-037</t>
  </si>
  <si>
    <t>2024-07-08</t>
  </si>
  <si>
    <t>rahul verma</t>
  </si>
  <si>
    <t>ORD-038</t>
  </si>
  <si>
    <t>2024-07-13</t>
  </si>
  <si>
    <t>ORD-039</t>
  </si>
  <si>
    <t>2024-07-19</t>
  </si>
  <si>
    <t>ORD-040</t>
  </si>
  <si>
    <t>2024-07-24</t>
  </si>
  <si>
    <t>Unknown</t>
  </si>
  <si>
    <t>Month</t>
  </si>
  <si>
    <t>Quarter</t>
  </si>
  <si>
    <t>Year</t>
  </si>
  <si>
    <t xml:space="preserve">Region </t>
  </si>
  <si>
    <t>Total</t>
  </si>
  <si>
    <t>Monthly Growth</t>
  </si>
  <si>
    <t>vs Target</t>
  </si>
  <si>
    <t>Target Progress</t>
  </si>
  <si>
    <t>Growth</t>
  </si>
  <si>
    <t>Row Labels</t>
  </si>
  <si>
    <t>Grand Total</t>
  </si>
  <si>
    <t>Column Labels</t>
  </si>
  <si>
    <t>Sum of Total Revenue</t>
  </si>
  <si>
    <t>Sum of Total Revenue2</t>
  </si>
  <si>
    <t>NovaMart Sales Dashboard — Jan to Jul 2024</t>
  </si>
  <si>
    <t>Top Region</t>
  </si>
  <si>
    <t>Best Month</t>
  </si>
  <si>
    <t>May</t>
  </si>
  <si>
    <t>Best Rep</t>
  </si>
  <si>
    <t>On Target</t>
  </si>
  <si>
    <t>Month 7 - Partial month — growth figure not representative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</si>
</sst>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yyyy/mm/dd;@"/>
    <numFmt numFmtId="165" formatCode="&quot;₹&quot;\ #,##0.00"/>
  </numFmts>
  <fonts count="9" x14ac:knownFonts="1">
    <font>
      <sz val="11"/>
      <color theme="1"/>
      <name val="Calibri"/>
      <family val="2"/>
      <scheme val="minor"/>
    </font>
    <font>
      <b/>
      <sz val="11"/>
      <color rgb="FFFFFFFF"/>
      <name val="Arial"/>
    </font>
    <font>
      <sz val="10"/>
      <name val="Arial"/>
    </font>
    <font>
      <b/>
      <sz val="11"/>
      <color theme="0"/>
      <name val="Calibri"/>
      <family val="2"/>
      <scheme val="minor"/>
    </font>
    <font>
      <sz val="10"/>
      <color theme="1"/>
      <name val="Calibri"/>
      <family val="2"/>
      <scheme val="minor"/>
    </font>
    <font>
      <b/>
      <sz val="16"/>
      <color theme="1"/>
      <name val="Calibri"/>
      <family val="2"/>
      <scheme val="minor"/>
    </font>
    <font>
      <b/>
      <sz val="10"/>
      <color theme="0"/>
      <name val="Calibri"/>
      <family val="2"/>
      <scheme val="minor"/>
    </font>
    <font>
      <b/>
      <sz val="9"/>
      <color theme="0"/>
      <name val="Calibri"/>
      <family val="2"/>
      <scheme val="minor"/>
    </font>
    <font>
      <sz val="10"/>
      <name val="Calibri"/>
      <family val="2"/>
      <scheme val="minor"/>
    </font>
  </fonts>
  <fills count="10">
    <fill>
      <patternFill patternType="none"/>
    </fill>
    <fill>
      <patternFill patternType="gray125"/>
    </fill>
    <fill>
      <patternFill patternType="solid">
        <fgColor rgb="FF2F4F7F"/>
      </patternFill>
    </fill>
    <fill>
      <patternFill patternType="solid">
        <fgColor rgb="FFF2F2F2"/>
      </patternFill>
    </fill>
    <fill>
      <patternFill patternType="solid">
        <fgColor theme="0"/>
        <bgColor indexed="64"/>
      </patternFill>
    </fill>
    <fill>
      <patternFill patternType="solid">
        <fgColor rgb="FFDB31C3"/>
        <bgColor indexed="64"/>
      </patternFill>
    </fill>
    <fill>
      <patternFill patternType="solid">
        <fgColor rgb="FF3FA5C1"/>
        <bgColor indexed="64"/>
      </patternFill>
    </fill>
    <fill>
      <patternFill patternType="solid">
        <fgColor rgb="FF59C224"/>
        <bgColor indexed="64"/>
      </patternFill>
    </fill>
    <fill>
      <patternFill patternType="solid">
        <fgColor rgb="FFEEB500"/>
        <bgColor indexed="64"/>
      </patternFill>
    </fill>
    <fill>
      <patternFill patternType="solid">
        <fgColor rgb="FF002060"/>
        <bgColor indexed="64"/>
      </patternFill>
    </fill>
  </fills>
  <borders count="18">
    <border>
      <left/>
      <right/>
      <top/>
      <bottom/>
      <diagonal/>
    </border>
    <border>
      <left style="thin">
        <color theme="0" tint="-0.14996795556505021"/>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style="thin">
        <color theme="0" tint="-0.14996795556505021"/>
      </right>
      <top style="thin">
        <color theme="0" tint="-0.14993743705557422"/>
      </top>
      <bottom/>
      <diagonal/>
    </border>
    <border>
      <left style="thin">
        <color theme="0" tint="-0.14996795556505021"/>
      </left>
      <right style="thin">
        <color theme="0" tint="-0.14993743705557422"/>
      </right>
      <top/>
      <bottom/>
      <diagonal/>
    </border>
    <border>
      <left style="thin">
        <color theme="0" tint="-0.14993743705557422"/>
      </left>
      <right style="thin">
        <color theme="0" tint="-0.14993743705557422"/>
      </right>
      <top/>
      <bottom/>
      <diagonal/>
    </border>
    <border>
      <left style="thin">
        <color theme="0" tint="-0.14993743705557422"/>
      </left>
      <right style="thin">
        <color theme="0" tint="-0.14996795556505021"/>
      </right>
      <top/>
      <bottom/>
      <diagonal/>
    </border>
    <border>
      <left style="thin">
        <color theme="0" tint="-0.14993743705557422"/>
      </left>
      <right/>
      <top/>
      <bottom style="thin">
        <color theme="0" tint="-0.14993743705557422"/>
      </bottom>
      <diagonal/>
    </border>
    <border>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right/>
      <top style="thin">
        <color theme="0" tint="-0.24994659260841701"/>
      </top>
      <bottom/>
      <diagonal/>
    </border>
    <border>
      <left/>
      <right/>
      <top/>
      <bottom style="thin">
        <color theme="0" tint="-0.24994659260841701"/>
      </bottom>
      <diagonal/>
    </border>
  </borders>
  <cellStyleXfs count="1">
    <xf numFmtId="0" fontId="0" fillId="0" borderId="0"/>
  </cellStyleXfs>
  <cellXfs count="45">
    <xf numFmtId="0" fontId="0" fillId="0" borderId="0" xfId="0"/>
    <xf numFmtId="0" fontId="1" fillId="2" borderId="0" xfId="0" applyFont="1" applyFill="1" applyAlignment="1">
      <alignment horizontal="center"/>
    </xf>
    <xf numFmtId="0" fontId="2" fillId="3" borderId="0" xfId="0" applyFont="1" applyFill="1"/>
    <xf numFmtId="0" fontId="2" fillId="0" borderId="0" xfId="0" applyFont="1"/>
    <xf numFmtId="14" fontId="0" fillId="0" borderId="0" xfId="0" applyNumberFormat="1"/>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4" borderId="0" xfId="0" applyFill="1"/>
    <xf numFmtId="0" fontId="5" fillId="4" borderId="0" xfId="0" applyFont="1" applyFill="1"/>
    <xf numFmtId="0" fontId="0" fillId="0" borderId="0" xfId="0" applyAlignment="1">
      <alignment horizontal="center"/>
    </xf>
    <xf numFmtId="0" fontId="8" fillId="4" borderId="7" xfId="0" applyFont="1" applyFill="1" applyBorder="1"/>
    <xf numFmtId="0" fontId="8" fillId="4" borderId="8" xfId="0" applyFont="1" applyFill="1" applyBorder="1"/>
    <xf numFmtId="0" fontId="8" fillId="4" borderId="9" xfId="0" applyFont="1" applyFill="1" applyBorder="1"/>
    <xf numFmtId="0" fontId="4" fillId="4" borderId="1" xfId="0" applyFont="1" applyFill="1" applyBorder="1"/>
    <xf numFmtId="0" fontId="4" fillId="4" borderId="2" xfId="0" applyFont="1" applyFill="1" applyBorder="1"/>
    <xf numFmtId="10" fontId="4" fillId="4" borderId="3" xfId="0" applyNumberFormat="1" applyFont="1" applyFill="1" applyBorder="1"/>
    <xf numFmtId="0" fontId="4" fillId="4" borderId="4" xfId="0" applyFont="1" applyFill="1" applyBorder="1"/>
    <xf numFmtId="0" fontId="4" fillId="4" borderId="5" xfId="0" applyFont="1" applyFill="1" applyBorder="1"/>
    <xf numFmtId="10" fontId="4" fillId="4" borderId="6" xfId="0" applyNumberFormat="1" applyFont="1" applyFill="1" applyBorder="1"/>
    <xf numFmtId="165" fontId="4" fillId="4" borderId="2" xfId="0" applyNumberFormat="1" applyFont="1" applyFill="1" applyBorder="1"/>
    <xf numFmtId="165" fontId="4" fillId="4" borderId="5" xfId="0" applyNumberFormat="1" applyFont="1" applyFill="1" applyBorder="1"/>
    <xf numFmtId="0" fontId="0" fillId="0" borderId="10" xfId="0" applyBorder="1"/>
    <xf numFmtId="0" fontId="0" fillId="0" borderId="11" xfId="0" applyBorder="1"/>
    <xf numFmtId="0" fontId="0" fillId="0" borderId="12" xfId="0" applyBorder="1"/>
    <xf numFmtId="0" fontId="0" fillId="0" borderId="13" xfId="0" quotePrefix="1" applyBorder="1"/>
    <xf numFmtId="0" fontId="0" fillId="0" borderId="14" xfId="0" applyBorder="1"/>
    <xf numFmtId="0" fontId="0" fillId="0" borderId="15" xfId="0" quotePrefix="1" applyBorder="1"/>
    <xf numFmtId="0" fontId="0" fillId="0" borderId="16" xfId="0" applyBorder="1"/>
    <xf numFmtId="10" fontId="0" fillId="0" borderId="13" xfId="0" applyNumberFormat="1" applyBorder="1"/>
    <xf numFmtId="0" fontId="0" fillId="0" borderId="17" xfId="0" applyBorder="1"/>
    <xf numFmtId="10" fontId="0" fillId="0" borderId="15" xfId="0" applyNumberFormat="1" applyBorder="1"/>
    <xf numFmtId="0" fontId="0" fillId="9" borderId="0" xfId="0" applyFill="1"/>
    <xf numFmtId="0" fontId="7" fillId="7" borderId="0" xfId="0" applyFont="1" applyFill="1" applyAlignment="1">
      <alignment horizontal="center"/>
    </xf>
    <xf numFmtId="0" fontId="3" fillId="7" borderId="0" xfId="0" applyFont="1" applyFill="1" applyAlignment="1">
      <alignment horizontal="center"/>
    </xf>
    <xf numFmtId="0" fontId="6" fillId="7" borderId="0" xfId="0" applyFont="1" applyFill="1" applyAlignment="1">
      <alignment horizontal="center" vertical="center"/>
    </xf>
    <xf numFmtId="0" fontId="7" fillId="5" borderId="0" xfId="0" applyFont="1" applyFill="1" applyAlignment="1">
      <alignment horizontal="center"/>
    </xf>
    <xf numFmtId="165" fontId="6" fillId="5" borderId="0" xfId="0" applyNumberFormat="1" applyFont="1" applyFill="1" applyAlignment="1">
      <alignment horizontal="center" vertical="center"/>
    </xf>
    <xf numFmtId="0" fontId="7" fillId="8" borderId="0" xfId="0" applyFont="1" applyFill="1" applyAlignment="1">
      <alignment horizontal="center"/>
    </xf>
    <xf numFmtId="0" fontId="3" fillId="8" borderId="0" xfId="0" applyFont="1" applyFill="1" applyAlignment="1">
      <alignment horizontal="center"/>
    </xf>
    <xf numFmtId="0" fontId="6" fillId="8" borderId="0" xfId="0" applyFont="1" applyFill="1" applyAlignment="1">
      <alignment horizontal="center" vertical="center"/>
    </xf>
    <xf numFmtId="0" fontId="7" fillId="6" borderId="0" xfId="0" applyFont="1" applyFill="1" applyAlignment="1">
      <alignment horizontal="center"/>
    </xf>
    <xf numFmtId="0" fontId="6" fillId="6" borderId="0" xfId="0" applyFont="1" applyFill="1" applyAlignment="1">
      <alignment horizontal="center" vertical="center"/>
    </xf>
  </cellXfs>
  <cellStyles count="1">
    <cellStyle name="Normal" xfId="0" builtinId="0"/>
  </cellStyles>
  <dxfs count="1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4" formatCode="0.00%"/>
    </dxf>
    <dxf>
      <numFmt numFmtId="14" formatCode="0.00%"/>
      <fill>
        <patternFill patternType="solid">
          <fgColor indexed="64"/>
          <bgColor theme="0"/>
        </patternFill>
      </fill>
      <border diagonalUp="0" diagonalDown="0" outline="0">
        <left/>
        <right style="thin">
          <color theme="0" tint="-0.14996795556505021"/>
        </right>
        <top/>
        <bottom/>
      </border>
    </dxf>
    <dxf>
      <font>
        <strike val="0"/>
        <outline val="0"/>
        <shadow val="0"/>
        <u val="none"/>
        <vertAlign val="baseline"/>
        <sz val="10"/>
        <name val="Calibri"/>
        <family val="2"/>
        <scheme val="minor"/>
      </font>
      <numFmt numFmtId="14" formatCode="0.00%"/>
      <fill>
        <patternFill patternType="solid">
          <fgColor indexed="64"/>
          <bgColor theme="0"/>
        </patternFill>
      </fill>
      <border diagonalUp="0" diagonalDown="0" outline="0">
        <left style="thin">
          <color theme="0" tint="-0.14993743705557422"/>
        </left>
        <right style="thin">
          <color theme="0" tint="-0.14996795556505021"/>
        </right>
        <top/>
        <bottom/>
      </border>
    </dxf>
    <dxf>
      <fill>
        <patternFill patternType="solid">
          <fgColor indexed="64"/>
          <bgColor theme="0"/>
        </patternFill>
      </fill>
    </dxf>
    <dxf>
      <font>
        <strike val="0"/>
        <outline val="0"/>
        <shadow val="0"/>
        <u val="none"/>
        <vertAlign val="baseline"/>
        <sz val="10"/>
        <name val="Calibri"/>
        <family val="2"/>
        <scheme val="minor"/>
      </font>
      <fill>
        <patternFill patternType="solid">
          <fgColor indexed="64"/>
          <bgColor theme="0"/>
        </patternFill>
      </fill>
      <border diagonalUp="0" diagonalDown="0" outline="0">
        <left style="thin">
          <color theme="0" tint="-0.14993743705557422"/>
        </left>
        <right style="thin">
          <color theme="0" tint="-0.14993743705557422"/>
        </right>
        <top/>
        <bottom/>
      </border>
    </dxf>
    <dxf>
      <font>
        <strike val="0"/>
        <outline val="0"/>
        <shadow val="0"/>
        <u val="none"/>
        <vertAlign val="baseline"/>
        <sz val="10"/>
        <name val="Calibri"/>
        <family val="2"/>
        <scheme val="minor"/>
      </font>
      <numFmt numFmtId="165" formatCode="&quot;₹&quot;\ #,##0.00"/>
      <fill>
        <patternFill patternType="solid">
          <fgColor indexed="64"/>
          <bgColor theme="0"/>
        </patternFill>
      </fill>
      <border diagonalUp="0" diagonalDown="0" outline="0">
        <left style="thin">
          <color theme="0" tint="-0.14993743705557422"/>
        </left>
        <right style="thin">
          <color theme="0" tint="-0.14993743705557422"/>
        </right>
        <top/>
        <bottom/>
      </border>
    </dxf>
    <dxf>
      <font>
        <strike val="0"/>
        <outline val="0"/>
        <shadow val="0"/>
        <u val="none"/>
        <vertAlign val="baseline"/>
        <sz val="10"/>
        <name val="Calibri"/>
        <family val="2"/>
        <scheme val="minor"/>
      </font>
      <numFmt numFmtId="165" formatCode="&quot;₹&quot;\ #,##0.00"/>
      <fill>
        <patternFill patternType="solid">
          <fgColor indexed="64"/>
          <bgColor theme="0"/>
        </patternFill>
      </fill>
      <border diagonalUp="0" diagonalDown="0" outline="0">
        <left style="thin">
          <color theme="0" tint="-0.14993743705557422"/>
        </left>
        <right style="thin">
          <color theme="0" tint="-0.14993743705557422"/>
        </right>
        <top/>
        <bottom/>
      </border>
    </dxf>
    <dxf>
      <fill>
        <patternFill patternType="solid">
          <fgColor indexed="64"/>
          <bgColor theme="0"/>
        </patternFill>
      </fill>
      <border diagonalUp="0" diagonalDown="0" outline="0">
        <left style="thin">
          <color theme="0" tint="-0.14996795556505021"/>
        </left>
        <right/>
        <top/>
        <bottom/>
      </border>
    </dxf>
    <dxf>
      <font>
        <strike val="0"/>
        <outline val="0"/>
        <shadow val="0"/>
        <u val="none"/>
        <vertAlign val="baseline"/>
        <sz val="10"/>
        <name val="Calibri"/>
        <family val="2"/>
        <scheme val="minor"/>
      </font>
      <fill>
        <patternFill patternType="solid">
          <fgColor indexed="64"/>
          <bgColor theme="0"/>
        </patternFill>
      </fill>
      <border diagonalUp="0" diagonalDown="0" outline="0">
        <left style="thin">
          <color theme="0" tint="-0.14996795556505021"/>
        </left>
        <right style="thin">
          <color theme="0" tint="-0.14993743705557422"/>
        </right>
        <top/>
        <bottom/>
      </border>
    </dxf>
    <dxf>
      <font>
        <strike val="0"/>
        <outline val="0"/>
        <shadow val="0"/>
        <u val="none"/>
        <vertAlign val="baseline"/>
        <sz val="10"/>
        <name val="Calibri"/>
        <family val="2"/>
        <scheme val="minor"/>
      </font>
    </dxf>
    <dxf>
      <border outline="0">
        <top style="thin">
          <color theme="0" tint="-0.14993743705557422"/>
        </top>
        <bottom style="thin">
          <color theme="0" tint="-0.14996795556505021"/>
        </bottom>
      </border>
    </dxf>
    <dxf>
      <font>
        <strike val="0"/>
        <outline val="0"/>
        <shadow val="0"/>
        <u val="none"/>
        <vertAlign val="baseline"/>
        <sz val="10"/>
        <name val="Calibri"/>
        <family val="2"/>
        <scheme val="minor"/>
      </font>
      <fill>
        <patternFill patternType="solid">
          <fgColor indexed="64"/>
          <bgColor theme="0"/>
        </patternFill>
      </fill>
    </dxf>
    <dxf>
      <border outline="0">
        <bottom style="thin">
          <color theme="0" tint="-0.14993743705557422"/>
        </bottom>
      </border>
    </dxf>
    <dxf>
      <font>
        <strike val="0"/>
        <outline val="0"/>
        <shadow val="0"/>
        <u val="none"/>
        <vertAlign val="baseline"/>
        <sz val="10"/>
        <name val="Calibri"/>
        <family val="2"/>
        <scheme val="minor"/>
      </font>
      <fill>
        <patternFill patternType="solid">
          <fgColor indexed="64"/>
          <bgColor theme="0"/>
        </patternFill>
      </fill>
    </dxf>
  </dxfs>
  <tableStyles count="0" defaultTableStyle="TableStyleMedium9" defaultPivotStyle="PivotStyleLight16"/>
  <colors>
    <mruColors>
      <color rgb="FFEEB500"/>
      <color rgb="FFF2B800"/>
      <color rgb="FFF6BB00"/>
      <color rgb="FF59C224"/>
      <color rgb="FF3FA5C1"/>
      <color rgb="FF5CC925"/>
      <color rgb="FF82DF53"/>
      <color rgb="FF60B5CC"/>
      <color rgb="FFD2D242"/>
      <color rgb="FFD6CB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[NovaMart_Sales_Raw-Project.xlsx]Pivot2!PivotTable2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Pivot2!$B$3</c:f>
              <c:strCache>
                <c:ptCount val="1"/>
                <c:pt idx="0">
                  <c:v>Total</c:v>
                </c:pt>
              </c:strCache>
            </c:strRef>
          </c:tx>
          <c:spPr>
            <a:solidFill>
              <a:schemeClr val="accent1"/>
            </a:solidFill>
            <a:ln>
              <a:noFill/>
            </a:ln>
            <a:effectLst/>
          </c:spPr>
          <c:invertIfNegative val="0"/>
          <c:cat>
            <c:strRef>
              <c:f>Pivot2!$A$4:$A$9</c:f>
              <c:strCache>
                <c:ptCount val="5"/>
                <c:pt idx="0">
                  <c:v>Desk Lamp</c:v>
                </c:pt>
                <c:pt idx="1">
                  <c:v>Keyboard</c:v>
                </c:pt>
                <c:pt idx="2">
                  <c:v>Laptop Pro</c:v>
                </c:pt>
                <c:pt idx="3">
                  <c:v>Monitor HD</c:v>
                </c:pt>
                <c:pt idx="4">
                  <c:v>Office Chair</c:v>
                </c:pt>
              </c:strCache>
            </c:strRef>
          </c:cat>
          <c:val>
            <c:numRef>
              <c:f>Pivot2!$B$4:$B$9</c:f>
              <c:numCache>
                <c:formatCode>"₹"\ #,##0.00</c:formatCode>
                <c:ptCount val="5"/>
                <c:pt idx="0">
                  <c:v>207600</c:v>
                </c:pt>
                <c:pt idx="1">
                  <c:v>567000</c:v>
                </c:pt>
                <c:pt idx="2">
                  <c:v>1980000</c:v>
                </c:pt>
                <c:pt idx="3">
                  <c:v>1254000</c:v>
                </c:pt>
                <c:pt idx="4">
                  <c:v>603500</c:v>
                </c:pt>
              </c:numCache>
            </c:numRef>
          </c:val>
          <c:extLst>
            <c:ext xmlns:c16="http://schemas.microsoft.com/office/drawing/2014/chart" uri="{C3380CC4-5D6E-409C-BE32-E72D297353CC}">
              <c16:uniqueId val="{00000000-E47E-4B81-993E-5690C9ED4DF5}"/>
            </c:ext>
          </c:extLst>
        </c:ser>
        <c:dLbls>
          <c:showLegendKey val="0"/>
          <c:showVal val="0"/>
          <c:showCatName val="0"/>
          <c:showSerName val="0"/>
          <c:showPercent val="0"/>
          <c:showBubbleSize val="0"/>
        </c:dLbls>
        <c:gapWidth val="182"/>
        <c:axId val="1908354015"/>
        <c:axId val="1908358335"/>
      </c:barChart>
      <c:catAx>
        <c:axId val="190835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58335"/>
        <c:crosses val="autoZero"/>
        <c:auto val="1"/>
        <c:lblAlgn val="ctr"/>
        <c:lblOffset val="100"/>
        <c:noMultiLvlLbl val="0"/>
      </c:catAx>
      <c:valAx>
        <c:axId val="19083583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5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[NovaMart_Sales_Raw-Project.xlsx]Pivot2!PivotTable2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65000"/>
                    <a:lumOff val="35000"/>
                  </a:schemeClr>
                </a:solidFill>
              </a:rPr>
              <a:t>Top</a:t>
            </a:r>
            <a:r>
              <a:rPr lang="en-US" sz="1400" b="1" baseline="0">
                <a:solidFill>
                  <a:schemeClr val="tx1">
                    <a:lumMod val="65000"/>
                    <a:lumOff val="35000"/>
                  </a:schemeClr>
                </a:solidFill>
              </a:rPr>
              <a:t> 5 Products by Revenue</a:t>
            </a:r>
            <a:endParaRPr lang="en-US" sz="1400" b="1">
              <a:solidFill>
                <a:schemeClr val="tx1">
                  <a:lumMod val="65000"/>
                  <a:lumOff val="35000"/>
                </a:schemeClr>
              </a:solidFill>
            </a:endParaRPr>
          </a:p>
        </c:rich>
      </c:tx>
      <c:layout>
        <c:manualLayout>
          <c:xMode val="edge"/>
          <c:yMode val="edge"/>
          <c:x val="0.4481837351916092"/>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Pivot2!$B$3</c:f>
              <c:strCache>
                <c:ptCount val="1"/>
                <c:pt idx="0">
                  <c:v>Total</c:v>
                </c:pt>
              </c:strCache>
            </c:strRef>
          </c:tx>
          <c:spPr>
            <a:solidFill>
              <a:schemeClr val="accent1"/>
            </a:solidFill>
            <a:ln>
              <a:noFill/>
            </a:ln>
            <a:effectLst/>
          </c:spPr>
          <c:invertIfNegative val="0"/>
          <c:cat>
            <c:strRef>
              <c:f>Pivot2!$A$4:$A$9</c:f>
              <c:strCache>
                <c:ptCount val="5"/>
                <c:pt idx="0">
                  <c:v>Desk Lamp</c:v>
                </c:pt>
                <c:pt idx="1">
                  <c:v>Keyboard</c:v>
                </c:pt>
                <c:pt idx="2">
                  <c:v>Laptop Pro</c:v>
                </c:pt>
                <c:pt idx="3">
                  <c:v>Monitor HD</c:v>
                </c:pt>
                <c:pt idx="4">
                  <c:v>Office Chair</c:v>
                </c:pt>
              </c:strCache>
            </c:strRef>
          </c:cat>
          <c:val>
            <c:numRef>
              <c:f>Pivot2!$B$4:$B$9</c:f>
              <c:numCache>
                <c:formatCode>"₹"\ #,##0.00</c:formatCode>
                <c:ptCount val="5"/>
                <c:pt idx="0">
                  <c:v>207600</c:v>
                </c:pt>
                <c:pt idx="1">
                  <c:v>567000</c:v>
                </c:pt>
                <c:pt idx="2">
                  <c:v>1980000</c:v>
                </c:pt>
                <c:pt idx="3">
                  <c:v>1254000</c:v>
                </c:pt>
                <c:pt idx="4">
                  <c:v>603500</c:v>
                </c:pt>
              </c:numCache>
            </c:numRef>
          </c:val>
          <c:extLst>
            <c:ext xmlns:c16="http://schemas.microsoft.com/office/drawing/2014/chart" uri="{C3380CC4-5D6E-409C-BE32-E72D297353CC}">
              <c16:uniqueId val="{00000000-AD40-47C7-92B6-1E83121CD0AA}"/>
            </c:ext>
          </c:extLst>
        </c:ser>
        <c:dLbls>
          <c:showLegendKey val="0"/>
          <c:showVal val="0"/>
          <c:showCatName val="0"/>
          <c:showSerName val="0"/>
          <c:showPercent val="0"/>
          <c:showBubbleSize val="0"/>
        </c:dLbls>
        <c:gapWidth val="182"/>
        <c:axId val="1908354015"/>
        <c:axId val="1908358335"/>
      </c:barChart>
      <c:catAx>
        <c:axId val="190835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58335"/>
        <c:crosses val="autoZero"/>
        <c:auto val="1"/>
        <c:lblAlgn val="ctr"/>
        <c:lblOffset val="100"/>
        <c:noMultiLvlLbl val="0"/>
      </c:catAx>
      <c:valAx>
        <c:axId val="19083583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5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533400</xdr:colOff>
      <xdr:row>2</xdr:row>
      <xdr:rowOff>3810</xdr:rowOff>
    </xdr:from>
    <xdr:to>
      <xdr:col>13</xdr:col>
      <xdr:colOff>259080</xdr:colOff>
      <xdr:row>17</xdr:row>
      <xdr:rowOff>3810</xdr:rowOff>
    </xdr:to>
    <xdr:graphicFrame macro="">
      <xdr:nvGraphicFramePr>
        <xdr:cNvPr id="2" name="Chart 1">
          <a:extLst>
            <a:ext uri="{FF2B5EF4-FFF2-40B4-BE49-F238E27FC236}">
              <a16:creationId xmlns:a16="http://schemas.microsoft.com/office/drawing/2014/main" id="{B3878889-6FB4-C7CD-7C95-3B868675C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7</xdr:row>
      <xdr:rowOff>167640</xdr:rowOff>
    </xdr:from>
    <xdr:to>
      <xdr:col>11</xdr:col>
      <xdr:colOff>205740</xdr:colOff>
      <xdr:row>22</xdr:row>
      <xdr:rowOff>167640</xdr:rowOff>
    </xdr:to>
    <xdr:graphicFrame macro="">
      <xdr:nvGraphicFramePr>
        <xdr:cNvPr id="2" name="Chart 1">
          <a:extLst>
            <a:ext uri="{FF2B5EF4-FFF2-40B4-BE49-F238E27FC236}">
              <a16:creationId xmlns:a16="http://schemas.microsoft.com/office/drawing/2014/main" id="{233EDC8E-B5C3-422A-A8CE-B09677D9B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1021080</xdr:colOff>
      <xdr:row>7</xdr:row>
      <xdr:rowOff>160020</xdr:rowOff>
    </xdr:from>
    <xdr:ext cx="1158240" cy="1417320"/>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B7F3C58-64BC-4792-A539-790952EDEB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38774" y="1559612"/>
              <a:ext cx="115824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oneCellAnchor>
  <xdr:oneCellAnchor>
    <xdr:from>
      <xdr:col>11</xdr:col>
      <xdr:colOff>1021080</xdr:colOff>
      <xdr:row>16</xdr:row>
      <xdr:rowOff>0</xdr:rowOff>
    </xdr:from>
    <xdr:ext cx="1158240" cy="1272540"/>
    <mc:AlternateContent xmlns:mc="http://schemas.openxmlformats.org/markup-compatibility/2006" xmlns:a14="http://schemas.microsoft.com/office/drawing/2010/main">
      <mc:Choice Requires="a14">
        <xdr:graphicFrame macro="">
          <xdr:nvGraphicFramePr>
            <xdr:cNvPr id="4" name="Quarter">
              <a:extLst>
                <a:ext uri="{FF2B5EF4-FFF2-40B4-BE49-F238E27FC236}">
                  <a16:creationId xmlns:a16="http://schemas.microsoft.com/office/drawing/2014/main" id="{FFAF8CC8-583E-4E81-8BF9-6AB2034622B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738774" y="3079102"/>
              <a:ext cx="115824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AK" refreshedDate="46197.833710185187" createdVersion="8" refreshedVersion="8" minRefreshableVersion="3" recordCount="40" xr:uid="{417E6FEF-4B2C-4395-A18A-C99371E7437B}">
  <cacheSource type="worksheet">
    <worksheetSource name="SalesData"/>
  </cacheSource>
  <cacheFields count="13">
    <cacheField name="Order ID" numFmtId="0">
      <sharedItems/>
    </cacheField>
    <cacheField name="Date" numFmtId="0">
      <sharedItems containsSemiMixedTypes="0" containsString="0" containsNumber="1" containsInteger="1" minValue="45296" maxValue="45497"/>
    </cacheField>
    <cacheField name="Sales Rep" numFmtId="0">
      <sharedItems count="6">
        <s v="Amit Sharma"/>
        <s v="Priya Nair"/>
        <s v="Rahul Verma"/>
        <s v="Sneha Patel"/>
        <s v="Karan Mehta"/>
        <s v="Unknown"/>
      </sharedItems>
    </cacheField>
    <cacheField name="Region" numFmtId="0">
      <sharedItems count="4">
        <s v="North"/>
        <s v="South"/>
        <s v="East"/>
        <s v="West"/>
      </sharedItems>
    </cacheField>
    <cacheField name="Product" numFmtId="0">
      <sharedItems count="5">
        <s v="Laptop Pro"/>
        <s v="Office Chair"/>
        <s v="Desk Lamp"/>
        <s v="Monitor HD"/>
        <s v="Keyboard"/>
      </sharedItems>
    </cacheField>
    <cacheField name="Category" numFmtId="0">
      <sharedItems/>
    </cacheField>
    <cacheField name="Units Sold" numFmtId="0">
      <sharedItems containsSemiMixedTypes="0" containsString="0" containsNumber="1" containsInteger="1" minValue="2" maxValue="40"/>
    </cacheField>
    <cacheField name="Unit Price" numFmtId="0">
      <sharedItems containsSemiMixedTypes="0" containsString="0" containsNumber="1" containsInteger="1" minValue="1200" maxValue="45000"/>
    </cacheField>
    <cacheField name="Total Revenue" numFmtId="0">
      <sharedItems containsSemiMixedTypes="0" containsString="0" containsNumber="1" containsInteger="1" minValue="18000" maxValue="270000"/>
    </cacheField>
    <cacheField name="Target" numFmtId="0">
      <sharedItems containsSemiMixedTypes="0" containsString="0" containsNumber="1" containsInteger="1" minValue="20000" maxValue="260000"/>
    </cacheField>
    <cacheField name="Month" numFmtId="0">
      <sharedItems containsSemiMixedTypes="0" containsString="0" containsNumber="1" containsInteger="1" minValue="1" maxValue="7" count="7">
        <n v="1"/>
        <n v="2"/>
        <n v="3"/>
        <n v="4"/>
        <n v="5"/>
        <n v="6"/>
        <n v="7"/>
      </sharedItems>
    </cacheField>
    <cacheField name="Quarter" numFmtId="0">
      <sharedItems containsSemiMixedTypes="0" containsString="0" containsNumber="1" containsInteger="1" minValue="1" maxValue="3" count="3">
        <n v="1"/>
        <n v="2"/>
        <n v="3"/>
      </sharedItems>
    </cacheField>
    <cacheField name="Year" numFmtId="0">
      <sharedItems containsSemiMixedTypes="0" containsString="0" containsNumber="1" containsInteger="1" minValue="2024" maxValue="2024"/>
    </cacheField>
  </cacheFields>
  <extLst>
    <ext xmlns:x14="http://schemas.microsoft.com/office/spreadsheetml/2009/9/main" uri="{725AE2AE-9491-48be-B2B4-4EB974FC3084}">
      <x14:pivotCacheDefinition pivotCacheId="682576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ORD-001"/>
    <n v="45296"/>
    <x v="0"/>
    <x v="0"/>
    <x v="0"/>
    <s v="Electronics"/>
    <n v="3"/>
    <n v="45000"/>
    <n v="135000"/>
    <n v="120000"/>
    <x v="0"/>
    <x v="0"/>
    <n v="2024"/>
  </r>
  <r>
    <s v="ORD-002"/>
    <n v="45296"/>
    <x v="1"/>
    <x v="1"/>
    <x v="1"/>
    <s v="Furniture"/>
    <n v="10"/>
    <n v="8500"/>
    <n v="85000"/>
    <n v="90000"/>
    <x v="0"/>
    <x v="0"/>
    <n v="2024"/>
  </r>
  <r>
    <s v="ORD-003"/>
    <n v="45303"/>
    <x v="2"/>
    <x v="2"/>
    <x v="0"/>
    <s v="Electronics"/>
    <n v="2"/>
    <n v="45000"/>
    <n v="90000"/>
    <n v="80000"/>
    <x v="0"/>
    <x v="0"/>
    <n v="2024"/>
  </r>
  <r>
    <s v="ORD-004"/>
    <n v="45306"/>
    <x v="0"/>
    <x v="0"/>
    <x v="2"/>
    <s v="Accessories"/>
    <n v="15"/>
    <n v="1200"/>
    <n v="18000"/>
    <n v="20000"/>
    <x v="0"/>
    <x v="0"/>
    <n v="2024"/>
  </r>
  <r>
    <s v="ORD-005"/>
    <n v="45311"/>
    <x v="3"/>
    <x v="3"/>
    <x v="3"/>
    <s v="Electronics"/>
    <n v="5"/>
    <n v="22000"/>
    <n v="110000"/>
    <n v="100000"/>
    <x v="0"/>
    <x v="0"/>
    <n v="2024"/>
  </r>
  <r>
    <s v="ORD-006"/>
    <n v="45313"/>
    <x v="1"/>
    <x v="1"/>
    <x v="1"/>
    <s v="Furniture"/>
    <n v="8"/>
    <n v="8500"/>
    <n v="68000"/>
    <n v="70000"/>
    <x v="0"/>
    <x v="0"/>
    <n v="2024"/>
  </r>
  <r>
    <s v="ORD-007"/>
    <n v="45325"/>
    <x v="2"/>
    <x v="2"/>
    <x v="3"/>
    <s v="Electronics"/>
    <n v="4"/>
    <n v="22000"/>
    <n v="88000"/>
    <n v="85000"/>
    <x v="1"/>
    <x v="0"/>
    <n v="2024"/>
  </r>
  <r>
    <s v="ORD-008"/>
    <n v="45329"/>
    <x v="0"/>
    <x v="0"/>
    <x v="0"/>
    <s v="Electronics"/>
    <n v="5"/>
    <n v="45000"/>
    <n v="225000"/>
    <n v="200000"/>
    <x v="1"/>
    <x v="0"/>
    <n v="2024"/>
  </r>
  <r>
    <s v="ORD-009"/>
    <n v="45329"/>
    <x v="4"/>
    <x v="3"/>
    <x v="4"/>
    <s v="Accessories"/>
    <n v="20"/>
    <n v="3500"/>
    <n v="70000"/>
    <n v="65000"/>
    <x v="1"/>
    <x v="0"/>
    <n v="2024"/>
  </r>
  <r>
    <s v="ORD-010"/>
    <n v="45336"/>
    <x v="3"/>
    <x v="3"/>
    <x v="0"/>
    <s v="Electronics"/>
    <n v="3"/>
    <n v="45000"/>
    <n v="135000"/>
    <n v="130000"/>
    <x v="1"/>
    <x v="0"/>
    <n v="2024"/>
  </r>
  <r>
    <s v="ORD-011"/>
    <n v="45340"/>
    <x v="1"/>
    <x v="1"/>
    <x v="2"/>
    <s v="Accessories"/>
    <n v="25"/>
    <n v="1200"/>
    <n v="30000"/>
    <n v="28000"/>
    <x v="1"/>
    <x v="0"/>
    <n v="2024"/>
  </r>
  <r>
    <s v="ORD-012"/>
    <n v="45347"/>
    <x v="2"/>
    <x v="2"/>
    <x v="4"/>
    <s v="Accessories"/>
    <n v="12"/>
    <n v="3500"/>
    <n v="42000"/>
    <n v="40000"/>
    <x v="1"/>
    <x v="0"/>
    <n v="2024"/>
  </r>
  <r>
    <s v="ORD-013"/>
    <n v="45353"/>
    <x v="0"/>
    <x v="0"/>
    <x v="3"/>
    <s v="Electronics"/>
    <n v="6"/>
    <n v="22000"/>
    <n v="132000"/>
    <n v="125000"/>
    <x v="2"/>
    <x v="0"/>
    <n v="2024"/>
  </r>
  <r>
    <s v="ORD-014"/>
    <n v="45359"/>
    <x v="4"/>
    <x v="3"/>
    <x v="1"/>
    <s v="Furniture"/>
    <n v="15"/>
    <n v="8500"/>
    <n v="127500"/>
    <n v="120000"/>
    <x v="2"/>
    <x v="0"/>
    <n v="2024"/>
  </r>
  <r>
    <s v="ORD-015"/>
    <n v="45361"/>
    <x v="3"/>
    <x v="3"/>
    <x v="0"/>
    <s v="Electronics"/>
    <n v="4"/>
    <n v="45000"/>
    <n v="180000"/>
    <n v="170000"/>
    <x v="2"/>
    <x v="0"/>
    <n v="2024"/>
  </r>
  <r>
    <s v="ORD-016"/>
    <n v="45366"/>
    <x v="1"/>
    <x v="1"/>
    <x v="3"/>
    <s v="Electronics"/>
    <n v="7"/>
    <n v="22000"/>
    <n v="154000"/>
    <n v="150000"/>
    <x v="2"/>
    <x v="0"/>
    <n v="2024"/>
  </r>
  <r>
    <s v="ORD-017"/>
    <n v="45371"/>
    <x v="2"/>
    <x v="2"/>
    <x v="1"/>
    <s v="Furniture"/>
    <n v="6"/>
    <n v="8500"/>
    <n v="51000"/>
    <n v="55000"/>
    <x v="2"/>
    <x v="0"/>
    <n v="2024"/>
  </r>
  <r>
    <s v="ORD-018"/>
    <n v="45371"/>
    <x v="0"/>
    <x v="0"/>
    <x v="4"/>
    <s v="Accessories"/>
    <n v="30"/>
    <n v="3500"/>
    <n v="105000"/>
    <n v="100000"/>
    <x v="2"/>
    <x v="0"/>
    <n v="2024"/>
  </r>
  <r>
    <s v="ORD-019"/>
    <n v="45384"/>
    <x v="1"/>
    <x v="1"/>
    <x v="2"/>
    <s v="Accessories"/>
    <n v="40"/>
    <n v="1200"/>
    <n v="48000"/>
    <n v="45000"/>
    <x v="3"/>
    <x v="1"/>
    <n v="2024"/>
  </r>
  <r>
    <s v="ORD-020"/>
    <n v="45388"/>
    <x v="3"/>
    <x v="3"/>
    <x v="3"/>
    <s v="Electronics"/>
    <n v="5"/>
    <n v="22000"/>
    <n v="110000"/>
    <n v="105000"/>
    <x v="3"/>
    <x v="1"/>
    <n v="2024"/>
  </r>
  <r>
    <s v="ORD-021"/>
    <n v="45393"/>
    <x v="2"/>
    <x v="2"/>
    <x v="0"/>
    <s v="Electronics"/>
    <n v="3"/>
    <n v="45000"/>
    <n v="135000"/>
    <n v="130000"/>
    <x v="3"/>
    <x v="1"/>
    <n v="2024"/>
  </r>
  <r>
    <s v="ORD-022"/>
    <n v="45397"/>
    <x v="5"/>
    <x v="0"/>
    <x v="4"/>
    <s v="Accessories"/>
    <n v="18"/>
    <n v="3500"/>
    <n v="63000"/>
    <n v="60000"/>
    <x v="3"/>
    <x v="1"/>
    <n v="2024"/>
  </r>
  <r>
    <s v="ORD-023"/>
    <n v="45402"/>
    <x v="1"/>
    <x v="1"/>
    <x v="0"/>
    <s v="Electronics"/>
    <n v="4"/>
    <n v="45000"/>
    <n v="180000"/>
    <n v="175000"/>
    <x v="3"/>
    <x v="1"/>
    <n v="2024"/>
  </r>
  <r>
    <s v="ORD-024"/>
    <n v="45407"/>
    <x v="0"/>
    <x v="0"/>
    <x v="1"/>
    <s v="Furniture"/>
    <n v="9"/>
    <n v="8500"/>
    <n v="76500"/>
    <n v="75000"/>
    <x v="3"/>
    <x v="1"/>
    <n v="2024"/>
  </r>
  <r>
    <s v="ORD-025"/>
    <n v="45415"/>
    <x v="4"/>
    <x v="3"/>
    <x v="3"/>
    <s v="Electronics"/>
    <n v="8"/>
    <n v="22000"/>
    <n v="176000"/>
    <n v="165000"/>
    <x v="4"/>
    <x v="1"/>
    <n v="2024"/>
  </r>
  <r>
    <s v="ORD-026"/>
    <n v="45421"/>
    <x v="3"/>
    <x v="3"/>
    <x v="2"/>
    <s v="Accessories"/>
    <n v="35"/>
    <n v="1200"/>
    <n v="42000"/>
    <n v="40000"/>
    <x v="4"/>
    <x v="1"/>
    <n v="2024"/>
  </r>
  <r>
    <s v="ORD-027"/>
    <n v="45426"/>
    <x v="2"/>
    <x v="2"/>
    <x v="4"/>
    <s v="Accessories"/>
    <n v="22"/>
    <n v="3500"/>
    <n v="77000"/>
    <n v="75000"/>
    <x v="4"/>
    <x v="1"/>
    <n v="2024"/>
  </r>
  <r>
    <s v="ORD-028"/>
    <n v="45431"/>
    <x v="0"/>
    <x v="0"/>
    <x v="0"/>
    <s v="Electronics"/>
    <n v="6"/>
    <n v="45000"/>
    <n v="270000"/>
    <n v="260000"/>
    <x v="4"/>
    <x v="1"/>
    <n v="2024"/>
  </r>
  <r>
    <s v="ORD-029"/>
    <n v="45434"/>
    <x v="1"/>
    <x v="1"/>
    <x v="3"/>
    <s v="Electronics"/>
    <n v="9"/>
    <n v="22000"/>
    <n v="198000"/>
    <n v="190000"/>
    <x v="4"/>
    <x v="1"/>
    <n v="2024"/>
  </r>
  <r>
    <s v="ORD-030"/>
    <n v="45440"/>
    <x v="4"/>
    <x v="3"/>
    <x v="1"/>
    <s v="Furniture"/>
    <n v="12"/>
    <n v="8500"/>
    <n v="102000"/>
    <n v="100000"/>
    <x v="4"/>
    <x v="1"/>
    <n v="2024"/>
  </r>
  <r>
    <s v="ORD-031"/>
    <n v="45447"/>
    <x v="3"/>
    <x v="3"/>
    <x v="0"/>
    <s v="Electronics"/>
    <n v="5"/>
    <n v="45000"/>
    <n v="225000"/>
    <n v="220000"/>
    <x v="5"/>
    <x v="1"/>
    <n v="2024"/>
  </r>
  <r>
    <s v="ORD-032"/>
    <n v="45453"/>
    <x v="2"/>
    <x v="2"/>
    <x v="2"/>
    <s v="Accessories"/>
    <n v="28"/>
    <n v="1200"/>
    <n v="33600"/>
    <n v="32000"/>
    <x v="5"/>
    <x v="1"/>
    <n v="2024"/>
  </r>
  <r>
    <s v="ORD-033"/>
    <n v="45459"/>
    <x v="0"/>
    <x v="0"/>
    <x v="3"/>
    <s v="Electronics"/>
    <n v="7"/>
    <n v="22000"/>
    <n v="154000"/>
    <n v="150000"/>
    <x v="5"/>
    <x v="1"/>
    <n v="2024"/>
  </r>
  <r>
    <s v="ORD-034"/>
    <n v="45464"/>
    <x v="4"/>
    <x v="3"/>
    <x v="4"/>
    <s v="Accessories"/>
    <n v="25"/>
    <n v="3500"/>
    <n v="87500"/>
    <n v="85000"/>
    <x v="5"/>
    <x v="1"/>
    <n v="2024"/>
  </r>
  <r>
    <s v="ORD-035"/>
    <n v="45470"/>
    <x v="1"/>
    <x v="1"/>
    <x v="0"/>
    <s v="Electronics"/>
    <n v="5"/>
    <n v="45000"/>
    <n v="225000"/>
    <n v="220000"/>
    <x v="5"/>
    <x v="1"/>
    <n v="2024"/>
  </r>
  <r>
    <s v="ORD-036"/>
    <n v="45475"/>
    <x v="3"/>
    <x v="3"/>
    <x v="1"/>
    <s v="Furniture"/>
    <n v="11"/>
    <n v="8500"/>
    <n v="93500"/>
    <n v="90000"/>
    <x v="6"/>
    <x v="2"/>
    <n v="2024"/>
  </r>
  <r>
    <s v="ORD-037"/>
    <n v="45481"/>
    <x v="2"/>
    <x v="2"/>
    <x v="3"/>
    <s v="Electronics"/>
    <n v="6"/>
    <n v="22000"/>
    <n v="132000"/>
    <n v="128000"/>
    <x v="6"/>
    <x v="2"/>
    <n v="2024"/>
  </r>
  <r>
    <s v="ORD-038"/>
    <n v="45486"/>
    <x v="0"/>
    <x v="0"/>
    <x v="4"/>
    <s v="Accessories"/>
    <n v="35"/>
    <n v="3500"/>
    <n v="122500"/>
    <n v="120000"/>
    <x v="6"/>
    <x v="2"/>
    <n v="2024"/>
  </r>
  <r>
    <s v="ORD-039"/>
    <n v="45492"/>
    <x v="4"/>
    <x v="3"/>
    <x v="0"/>
    <s v="Electronics"/>
    <n v="4"/>
    <n v="45000"/>
    <n v="180000"/>
    <n v="175000"/>
    <x v="6"/>
    <x v="2"/>
    <n v="2024"/>
  </r>
  <r>
    <s v="ORD-040"/>
    <n v="45497"/>
    <x v="1"/>
    <x v="1"/>
    <x v="2"/>
    <s v="Accessories"/>
    <n v="30"/>
    <n v="1200"/>
    <n v="36000"/>
    <n v="35000"/>
    <x v="6"/>
    <x v="2"/>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E55112-AD4E-4C11-8318-5621187576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9" firstHeaderRow="1" firstDataRow="2" firstDataCol="1"/>
  <pivotFields count="13">
    <pivotField showAll="0"/>
    <pivotField showAll="0"/>
    <pivotField showAll="0"/>
    <pivotField axis="axisRow" showAll="0">
      <items count="5">
        <item x="2"/>
        <item x="0"/>
        <item x="1"/>
        <item x="3"/>
        <item t="default"/>
      </items>
    </pivotField>
    <pivotField showAll="0"/>
    <pivotField showAll="0"/>
    <pivotField showAll="0"/>
    <pivotField showAll="0"/>
    <pivotField dataField="1" showAll="0"/>
    <pivotField showAll="0"/>
    <pivotField axis="axisCol" showAll="0">
      <items count="8">
        <item x="0"/>
        <item x="1"/>
        <item x="2"/>
        <item x="3"/>
        <item x="4"/>
        <item x="5"/>
        <item x="6"/>
        <item t="default"/>
      </items>
    </pivotField>
    <pivotField showAll="0">
      <items count="4">
        <item x="0"/>
        <item x="1"/>
        <item x="2"/>
        <item t="default"/>
      </items>
    </pivotField>
    <pivotField showAll="0"/>
  </pivotFields>
  <rowFields count="1">
    <field x="3"/>
  </rowFields>
  <rowItems count="5">
    <i>
      <x/>
    </i>
    <i>
      <x v="1"/>
    </i>
    <i>
      <x v="2"/>
    </i>
    <i>
      <x v="3"/>
    </i>
    <i t="grand">
      <x/>
    </i>
  </rowItems>
  <colFields count="1">
    <field x="10"/>
  </colFields>
  <colItems count="8">
    <i>
      <x/>
    </i>
    <i>
      <x v="1"/>
    </i>
    <i>
      <x v="2"/>
    </i>
    <i>
      <x v="3"/>
    </i>
    <i>
      <x v="4"/>
    </i>
    <i>
      <x v="5"/>
    </i>
    <i>
      <x v="6"/>
    </i>
    <i t="grand">
      <x/>
    </i>
  </colItems>
  <dataFields count="1">
    <dataField name="Sum of Total Revenue"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3CC7FF-748F-4CAE-822B-EA803FA7B8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3">
    <pivotField showAll="0"/>
    <pivotField showAll="0"/>
    <pivotField showAll="0"/>
    <pivotField showAll="0">
      <items count="5">
        <item x="2"/>
        <item x="0"/>
        <item x="1"/>
        <item x="3"/>
        <item t="default"/>
      </items>
    </pivotField>
    <pivotField axis="axisRow" showAll="0" measureFilter="1">
      <items count="6">
        <item x="2"/>
        <item x="4"/>
        <item x="0"/>
        <item x="3"/>
        <item x="1"/>
        <item t="default"/>
      </items>
    </pivotField>
    <pivotField showAll="0"/>
    <pivotField showAll="0"/>
    <pivotField showAll="0"/>
    <pivotField dataField="1" showAll="0"/>
    <pivotField showAll="0"/>
    <pivotField showAll="0"/>
    <pivotField showAll="0">
      <items count="4">
        <item x="0"/>
        <item x="1"/>
        <item x="2"/>
        <item t="default"/>
      </items>
    </pivotField>
    <pivotField showAll="0"/>
  </pivotFields>
  <rowFields count="1">
    <field x="4"/>
  </rowFields>
  <rowItems count="6">
    <i>
      <x/>
    </i>
    <i>
      <x v="1"/>
    </i>
    <i>
      <x v="2"/>
    </i>
    <i>
      <x v="3"/>
    </i>
    <i>
      <x v="4"/>
    </i>
    <i t="grand">
      <x/>
    </i>
  </rowItems>
  <colItems count="1">
    <i/>
  </colItems>
  <dataFields count="1">
    <dataField name="Sum of Total Revenue" fld="8" baseField="0" baseItem="0" numFmtId="165"/>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E344A6-9092-48EB-8929-37F279BDCD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13">
    <pivotField showAll="0"/>
    <pivotField showAll="0"/>
    <pivotField axis="axisRow" showAll="0">
      <items count="7">
        <item x="0"/>
        <item x="4"/>
        <item x="1"/>
        <item x="2"/>
        <item x="3"/>
        <item x="5"/>
        <item t="default"/>
      </items>
    </pivotField>
    <pivotField showAll="0">
      <items count="5">
        <item x="2"/>
        <item x="0"/>
        <item x="1"/>
        <item x="3"/>
        <item t="default"/>
      </items>
    </pivotField>
    <pivotField showAll="0"/>
    <pivotField showAll="0"/>
    <pivotField showAll="0"/>
    <pivotField showAll="0"/>
    <pivotField dataField="1" showAll="0"/>
    <pivotField showAll="0"/>
    <pivotField showAll="0"/>
    <pivotField showAll="0">
      <items count="4">
        <item x="0"/>
        <item x="1"/>
        <item x="2"/>
        <item t="default"/>
      </items>
    </pivotField>
    <pivotField showAll="0"/>
  </pivotFields>
  <rowFields count="1">
    <field x="2"/>
  </rowFields>
  <rowItems count="7">
    <i>
      <x/>
    </i>
    <i>
      <x v="1"/>
    </i>
    <i>
      <x v="2"/>
    </i>
    <i>
      <x v="3"/>
    </i>
    <i>
      <x v="4"/>
    </i>
    <i>
      <x v="5"/>
    </i>
    <i t="grand">
      <x/>
    </i>
  </rowItems>
  <colFields count="1">
    <field x="-2"/>
  </colFields>
  <colItems count="2">
    <i>
      <x/>
    </i>
    <i i="1">
      <x v="1"/>
    </i>
  </colItems>
  <dataFields count="2">
    <dataField name="Sum of Total Revenue" fld="8" baseField="0" baseItem="0" numFmtId="165"/>
    <dataField name="Sum of Total Revenue2" fld="8" showDataAs="percentOfTotal" baseField="2"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77FEC0-A75A-4036-9949-91F95B784D68}" sourceName="Region">
  <pivotTables>
    <pivotTable tabId="10" name="PivotTable4"/>
    <pivotTable tabId="5" name="PivotTable1"/>
    <pivotTable tabId="7" name="PivotTable2"/>
  </pivotTables>
  <data>
    <tabular pivotCacheId="68257679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00F145E-A0D3-438F-B959-7354E164A9C6}" sourceName="Quarter">
  <pivotTables>
    <pivotTable tabId="10" name="PivotTable4"/>
    <pivotTable tabId="5" name="PivotTable1"/>
    <pivotTable tabId="7" name="PivotTable2"/>
  </pivotTables>
  <data>
    <tabular pivotCacheId="68257679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A42F36F-9BF5-43B8-86A1-B6B210354E81}" cache="Slicer_Region" caption="Region" rowHeight="234950"/>
  <slicer name="Quarter" xr10:uid="{F83CF76C-4054-45DC-A5B8-4B3FE748F7F5}" cache="Slicer_Quarter" caption="Quart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408BED-2F44-4157-B643-FC26215FE2DE}" name="SalesData" displayName="SalesData" ref="A1:M41" totalsRowShown="0">
  <autoFilter ref="A1:M41" xr:uid="{93408BED-2F44-4157-B643-FC26215FE2DE}"/>
  <tableColumns count="13">
    <tableColumn id="1" xr3:uid="{4F097D98-F49E-4A0A-8597-B7813E797CCB}" name="Order ID"/>
    <tableColumn id="2" xr3:uid="{05015EB1-5D05-4B23-AC14-EBC53C8476B7}" name="Date"/>
    <tableColumn id="3" xr3:uid="{5C69A92E-7471-4D23-8961-EF997E354400}" name="Sales Rep"/>
    <tableColumn id="4" xr3:uid="{A6F6572D-0A95-48BA-9D38-D8BAE57FB9CF}" name="Region"/>
    <tableColumn id="5" xr3:uid="{45E5A8B7-F46C-44C5-A674-AF896647C7E3}" name="Product"/>
    <tableColumn id="6" xr3:uid="{27F61001-FE93-49A9-AD83-93F515C0459D}" name="Category"/>
    <tableColumn id="7" xr3:uid="{FEFCC6B4-47FE-4E04-A019-5B9488160BB7}" name="Units Sold"/>
    <tableColumn id="8" xr3:uid="{85D603E9-8CF1-49CC-A6CF-7290601AC26A}" name="Unit Price"/>
    <tableColumn id="9" xr3:uid="{8DCDFB56-1AF5-4E0F-8327-9D85137EF34A}" name="Total Revenue"/>
    <tableColumn id="10" xr3:uid="{E169BC50-AC37-4F84-9032-83D7C5F1075A}" name="Target"/>
    <tableColumn id="11" xr3:uid="{4172938E-7E3A-48E6-BCA3-1D3759CCA4FC}" name="Month">
      <calculatedColumnFormula>MONTH(SalesData[[#This Row],[Date]])</calculatedColumnFormula>
    </tableColumn>
    <tableColumn id="12" xr3:uid="{43439ED1-F317-4380-B4A3-04523E9246A3}" name="Quarter">
      <calculatedColumnFormula>ROUNDUP(MONTH(SalesData[[#This Row],[Date]])/3,0)</calculatedColumnFormula>
    </tableColumn>
    <tableColumn id="13" xr3:uid="{A093CA9A-7477-4478-BB9B-7A03E9080483}" name="Year">
      <calculatedColumnFormula>YEAR(SalesData[[#This Row],[Date]])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6944F0-16FF-49E1-A4FC-CA7DC3151F87}" name="Table4" displayName="Table4" ref="C26:G32" headerRowDxfId="17" dataDxfId="15" totalsRowDxfId="13" headerRowBorderDxfId="16" tableBorderDxfId="14">
  <autoFilter ref="C26:G32" xr:uid="{3B6944F0-16FF-49E1-A4FC-CA7DC3151F87}"/>
  <tableColumns count="5">
    <tableColumn id="1" xr3:uid="{6F77C46A-E694-4CB8-B658-886E7F251904}" name="Sales Rep" totalsRowLabel="Total" dataDxfId="12" totalsRowDxfId="11"/>
    <tableColumn id="2" xr3:uid="{38149DBE-F184-4EB5-AC0F-54301F491A45}" name="Total Revenue" dataDxfId="10"/>
    <tableColumn id="3" xr3:uid="{400A3759-5B56-4348-8EA4-6C811249C2A9}" name="vs Target" dataDxfId="9"/>
    <tableColumn id="4" xr3:uid="{EEA2EC71-AA5C-40EE-B38B-C587822594AE}" name="Target Progress" dataDxfId="8" totalsRowDxfId="7"/>
    <tableColumn id="5" xr3:uid="{26EF11FD-C18F-4D15-BDA0-11AF683A64F9}" name="Growth" totalsRowFunction="sum" dataDxfId="6" totalsRowDxfId="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533B33-2117-468C-8D18-E4BBA4FAEBFE}" name="Table2" displayName="Table2" ref="D1:J8" totalsRowShown="0">
  <autoFilter ref="D1:J8" xr:uid="{31533B33-2117-468C-8D18-E4BBA4FAEBFE}"/>
  <tableColumns count="7">
    <tableColumn id="1" xr3:uid="{7D1E816F-6F43-416E-BCD1-E60FE707EB20}" name="Month"/>
    <tableColumn id="2" xr3:uid="{0359C371-2361-466F-9154-5EDC86CEF024}" name="North">
      <calculatedColumnFormula>SUMIFS(SalesData[Total Revenue],SalesData[Month],D2,SalesData[Region],E$1)</calculatedColumnFormula>
    </tableColumn>
    <tableColumn id="3" xr3:uid="{173C2D52-C79B-47D2-86DB-CC1103662E7E}" name="South">
      <calculatedColumnFormula>SUMIFS(SalesData[Total Revenue],SalesData[Month],D2,SalesData[Region],F$1)</calculatedColumnFormula>
    </tableColumn>
    <tableColumn id="4" xr3:uid="{065C1941-5F92-4AFB-8AA7-4C4FAC4F1905}" name="East">
      <calculatedColumnFormula>SUMIFS(SalesData[Total Revenue],SalesData[Month],D2,SalesData[Region],G$1)</calculatedColumnFormula>
    </tableColumn>
    <tableColumn id="5" xr3:uid="{84A1147D-DDF3-4036-A461-3FEEBFD6E577}" name="West">
      <calculatedColumnFormula>SUMIFS(SalesData[Total Revenue],SalesData[Month],D2,SalesData[Region],H$1)</calculatedColumnFormula>
    </tableColumn>
    <tableColumn id="6" xr3:uid="{FF4F6AD3-EFAB-4173-A16F-9DCFA4EFE7EE}" name="Total">
      <calculatedColumnFormula>SUM(E2:H2)</calculatedColumnFormula>
    </tableColumn>
    <tableColumn id="7" xr3:uid="{677D6BCA-9D98-4633-A28A-2F68AF8135F2}" name="Monthly Growth" dataDxfId="4">
      <calculatedColumnFormula>(I3-I2)/I2</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6FE91-B2DE-4FBD-82DF-2CC6D6235705}">
  <dimension ref="A3:I9"/>
  <sheetViews>
    <sheetView workbookViewId="0">
      <selection activeCell="K14" sqref="K14"/>
    </sheetView>
  </sheetViews>
  <sheetFormatPr defaultRowHeight="14.4" x14ac:dyDescent="0.3"/>
  <cols>
    <col min="1" max="1" width="19.6640625" bestFit="1" customWidth="1"/>
    <col min="2" max="2" width="15.5546875" bestFit="1" customWidth="1"/>
    <col min="3" max="8" width="12.109375" bestFit="1" customWidth="1"/>
    <col min="9" max="9" width="13.21875" bestFit="1" customWidth="1"/>
  </cols>
  <sheetData>
    <row r="3" spans="1:9" x14ac:dyDescent="0.3">
      <c r="A3" s="7" t="s">
        <v>129</v>
      </c>
      <c r="B3" s="7" t="s">
        <v>128</v>
      </c>
    </row>
    <row r="4" spans="1:9" x14ac:dyDescent="0.3">
      <c r="A4" s="7" t="s">
        <v>126</v>
      </c>
      <c r="B4">
        <v>1</v>
      </c>
      <c r="C4">
        <v>2</v>
      </c>
      <c r="D4">
        <v>3</v>
      </c>
      <c r="E4">
        <v>4</v>
      </c>
      <c r="F4">
        <v>5</v>
      </c>
      <c r="G4">
        <v>6</v>
      </c>
      <c r="H4">
        <v>7</v>
      </c>
      <c r="I4" t="s">
        <v>127</v>
      </c>
    </row>
    <row r="5" spans="1:9" x14ac:dyDescent="0.3">
      <c r="A5" s="8" t="s">
        <v>25</v>
      </c>
      <c r="B5" s="9">
        <v>90000</v>
      </c>
      <c r="C5" s="9">
        <v>130000</v>
      </c>
      <c r="D5" s="9">
        <v>51000</v>
      </c>
      <c r="E5" s="9">
        <v>135000</v>
      </c>
      <c r="F5" s="9">
        <v>77000</v>
      </c>
      <c r="G5" s="9">
        <v>33600</v>
      </c>
      <c r="H5" s="9">
        <v>132000</v>
      </c>
      <c r="I5" s="9">
        <v>648600</v>
      </c>
    </row>
    <row r="6" spans="1:9" x14ac:dyDescent="0.3">
      <c r="A6" s="8" t="s">
        <v>13</v>
      </c>
      <c r="B6" s="9">
        <v>153000</v>
      </c>
      <c r="C6" s="9">
        <v>225000</v>
      </c>
      <c r="D6" s="9">
        <v>237000</v>
      </c>
      <c r="E6" s="9">
        <v>139500</v>
      </c>
      <c r="F6" s="9">
        <v>270000</v>
      </c>
      <c r="G6" s="9">
        <v>154000</v>
      </c>
      <c r="H6" s="9">
        <v>122500</v>
      </c>
      <c r="I6" s="9">
        <v>1301000</v>
      </c>
    </row>
    <row r="7" spans="1:9" x14ac:dyDescent="0.3">
      <c r="A7" s="8" t="s">
        <v>38</v>
      </c>
      <c r="B7" s="9">
        <v>153000</v>
      </c>
      <c r="C7" s="9">
        <v>30000</v>
      </c>
      <c r="D7" s="9">
        <v>154000</v>
      </c>
      <c r="E7" s="9">
        <v>228000</v>
      </c>
      <c r="F7" s="9">
        <v>198000</v>
      </c>
      <c r="G7" s="9">
        <v>225000</v>
      </c>
      <c r="H7" s="9">
        <v>36000</v>
      </c>
      <c r="I7" s="9">
        <v>1024000</v>
      </c>
    </row>
    <row r="8" spans="1:9" x14ac:dyDescent="0.3">
      <c r="A8" s="8" t="s">
        <v>47</v>
      </c>
      <c r="B8" s="9">
        <v>110000</v>
      </c>
      <c r="C8" s="9">
        <v>205000</v>
      </c>
      <c r="D8" s="9">
        <v>307500</v>
      </c>
      <c r="E8" s="9">
        <v>110000</v>
      </c>
      <c r="F8" s="9">
        <v>320000</v>
      </c>
      <c r="G8" s="9">
        <v>312500</v>
      </c>
      <c r="H8" s="9">
        <v>273500</v>
      </c>
      <c r="I8" s="9">
        <v>1638500</v>
      </c>
    </row>
    <row r="9" spans="1:9" x14ac:dyDescent="0.3">
      <c r="A9" s="8" t="s">
        <v>127</v>
      </c>
      <c r="B9" s="9">
        <v>506000</v>
      </c>
      <c r="C9" s="9">
        <v>590000</v>
      </c>
      <c r="D9" s="9">
        <v>749500</v>
      </c>
      <c r="E9" s="9">
        <v>612500</v>
      </c>
      <c r="F9" s="9">
        <v>865000</v>
      </c>
      <c r="G9" s="9">
        <v>725100</v>
      </c>
      <c r="H9" s="9">
        <v>564000</v>
      </c>
      <c r="I9" s="9">
        <v>4612100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5E72F-877B-4EEE-9DA5-F096EEA406B0}">
  <dimension ref="A3:B9"/>
  <sheetViews>
    <sheetView workbookViewId="0">
      <selection activeCell="H24" sqref="H24"/>
    </sheetView>
  </sheetViews>
  <sheetFormatPr defaultRowHeight="14.4" x14ac:dyDescent="0.3"/>
  <cols>
    <col min="1" max="1" width="12.5546875" bestFit="1" customWidth="1"/>
    <col min="2" max="2" width="19.6640625" bestFit="1" customWidth="1"/>
  </cols>
  <sheetData>
    <row r="3" spans="1:2" x14ac:dyDescent="0.3">
      <c r="A3" s="7" t="s">
        <v>126</v>
      </c>
      <c r="B3" t="s">
        <v>129</v>
      </c>
    </row>
    <row r="4" spans="1:2" x14ac:dyDescent="0.3">
      <c r="A4" s="8" t="s">
        <v>29</v>
      </c>
      <c r="B4" s="9">
        <v>207600</v>
      </c>
    </row>
    <row r="5" spans="1:2" x14ac:dyDescent="0.3">
      <c r="A5" s="8" t="s">
        <v>48</v>
      </c>
      <c r="B5" s="9">
        <v>567000</v>
      </c>
    </row>
    <row r="6" spans="1:2" x14ac:dyDescent="0.3">
      <c r="A6" s="8" t="s">
        <v>14</v>
      </c>
      <c r="B6" s="9">
        <v>1980000</v>
      </c>
    </row>
    <row r="7" spans="1:2" x14ac:dyDescent="0.3">
      <c r="A7" s="8" t="s">
        <v>35</v>
      </c>
      <c r="B7" s="9">
        <v>1254000</v>
      </c>
    </row>
    <row r="8" spans="1:2" x14ac:dyDescent="0.3">
      <c r="A8" s="8" t="s">
        <v>20</v>
      </c>
      <c r="B8" s="9">
        <v>603500</v>
      </c>
    </row>
    <row r="9" spans="1:2" x14ac:dyDescent="0.3">
      <c r="A9" s="8" t="s">
        <v>127</v>
      </c>
      <c r="B9" s="9">
        <v>4612100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4FE34-71D6-4FFF-8430-DEB253788AA5}">
  <dimension ref="A3:C10"/>
  <sheetViews>
    <sheetView workbookViewId="0">
      <selection activeCell="B4" sqref="B4"/>
    </sheetView>
  </sheetViews>
  <sheetFormatPr defaultRowHeight="14.4" x14ac:dyDescent="0.3"/>
  <cols>
    <col min="1" max="1" width="12.5546875" bestFit="1" customWidth="1"/>
    <col min="2" max="2" width="19.6640625" bestFit="1" customWidth="1"/>
    <col min="3" max="3" width="20.6640625" bestFit="1" customWidth="1"/>
  </cols>
  <sheetData>
    <row r="3" spans="1:3" x14ac:dyDescent="0.3">
      <c r="A3" s="7" t="s">
        <v>126</v>
      </c>
      <c r="B3" t="s">
        <v>129</v>
      </c>
      <c r="C3" t="s">
        <v>130</v>
      </c>
    </row>
    <row r="4" spans="1:3" x14ac:dyDescent="0.3">
      <c r="A4" s="8" t="s">
        <v>12</v>
      </c>
      <c r="B4" s="9">
        <v>1238000</v>
      </c>
      <c r="C4" s="6">
        <v>0.26842436200429304</v>
      </c>
    </row>
    <row r="5" spans="1:3" x14ac:dyDescent="0.3">
      <c r="A5" s="8" t="s">
        <v>46</v>
      </c>
      <c r="B5" s="9">
        <v>743000</v>
      </c>
      <c r="C5" s="6">
        <v>0.16109798139676068</v>
      </c>
    </row>
    <row r="6" spans="1:3" x14ac:dyDescent="0.3">
      <c r="A6" s="8" t="s">
        <v>18</v>
      </c>
      <c r="B6" s="9">
        <v>1024000</v>
      </c>
      <c r="C6" s="6">
        <v>0.22202467422649119</v>
      </c>
    </row>
    <row r="7" spans="1:3" x14ac:dyDescent="0.3">
      <c r="A7" s="8" t="s">
        <v>24</v>
      </c>
      <c r="B7" s="9">
        <v>648600</v>
      </c>
      <c r="C7" s="6">
        <v>0.14063008174150604</v>
      </c>
    </row>
    <row r="8" spans="1:3" x14ac:dyDescent="0.3">
      <c r="A8" s="8" t="s">
        <v>33</v>
      </c>
      <c r="B8" s="9">
        <v>895500</v>
      </c>
      <c r="C8" s="6">
        <v>0.19416317946271763</v>
      </c>
    </row>
    <row r="9" spans="1:3" x14ac:dyDescent="0.3">
      <c r="A9" s="8" t="s">
        <v>116</v>
      </c>
      <c r="B9" s="9">
        <v>63000</v>
      </c>
      <c r="C9" s="6">
        <v>1.3659721168231392E-2</v>
      </c>
    </row>
    <row r="10" spans="1:3" x14ac:dyDescent="0.3">
      <c r="A10" s="8" t="s">
        <v>127</v>
      </c>
      <c r="B10" s="9">
        <v>4612100</v>
      </c>
      <c r="C10" s="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2778D-B95A-403A-B543-67452A909BD5}">
  <dimension ref="A1:N41"/>
  <sheetViews>
    <sheetView workbookViewId="0">
      <selection activeCell="Q16" sqref="Q16"/>
    </sheetView>
  </sheetViews>
  <sheetFormatPr defaultRowHeight="14.4" x14ac:dyDescent="0.3"/>
  <cols>
    <col min="1" max="1" width="11" customWidth="1"/>
    <col min="2" max="2" width="18" style="5" customWidth="1"/>
    <col min="3" max="3" width="16" customWidth="1"/>
    <col min="4" max="4" width="10" customWidth="1"/>
    <col min="5" max="6" width="14" customWidth="1"/>
    <col min="7" max="7" width="12.77734375" customWidth="1"/>
    <col min="8" max="8" width="12.33203125" customWidth="1"/>
    <col min="9" max="9" width="17" customWidth="1"/>
    <col min="10" max="10" width="12" customWidth="1"/>
    <col min="12" max="12" width="10.33203125" style="4" bestFit="1" customWidth="1"/>
    <col min="14" max="14" width="10.33203125" bestFit="1" customWidth="1"/>
  </cols>
  <sheetData>
    <row r="1" spans="1:14" x14ac:dyDescent="0.3">
      <c r="A1" t="s">
        <v>0</v>
      </c>
      <c r="B1" t="s">
        <v>1</v>
      </c>
      <c r="C1" t="s">
        <v>2</v>
      </c>
      <c r="D1" t="s">
        <v>3</v>
      </c>
      <c r="E1" t="s">
        <v>4</v>
      </c>
      <c r="F1" t="s">
        <v>5</v>
      </c>
      <c r="G1" t="s">
        <v>6</v>
      </c>
      <c r="H1" t="s">
        <v>7</v>
      </c>
      <c r="I1" t="s">
        <v>8</v>
      </c>
      <c r="J1" t="s">
        <v>9</v>
      </c>
      <c r="K1" t="s">
        <v>117</v>
      </c>
      <c r="L1" t="s">
        <v>118</v>
      </c>
      <c r="M1" t="s">
        <v>119</v>
      </c>
    </row>
    <row r="2" spans="1:14" x14ac:dyDescent="0.3">
      <c r="A2" t="s">
        <v>10</v>
      </c>
      <c r="B2">
        <v>45296</v>
      </c>
      <c r="C2" t="s">
        <v>12</v>
      </c>
      <c r="D2" t="s">
        <v>13</v>
      </c>
      <c r="E2" t="s">
        <v>14</v>
      </c>
      <c r="F2" t="s">
        <v>15</v>
      </c>
      <c r="G2">
        <v>3</v>
      </c>
      <c r="H2">
        <v>45000</v>
      </c>
      <c r="I2">
        <v>135000</v>
      </c>
      <c r="J2">
        <v>120000</v>
      </c>
      <c r="K2">
        <f>MONTH(SalesData[[#This Row],[Date]])</f>
        <v>1</v>
      </c>
      <c r="L2">
        <f>ROUNDUP(MONTH(SalesData[[#This Row],[Date]])/3,0)</f>
        <v>1</v>
      </c>
      <c r="M2">
        <f>YEAR(SalesData[[#This Row],[Date]])</f>
        <v>2024</v>
      </c>
      <c r="N2" s="4"/>
    </row>
    <row r="3" spans="1:14" x14ac:dyDescent="0.3">
      <c r="A3" t="s">
        <v>16</v>
      </c>
      <c r="B3">
        <v>45296</v>
      </c>
      <c r="C3" t="s">
        <v>18</v>
      </c>
      <c r="D3" t="s">
        <v>38</v>
      </c>
      <c r="E3" t="s">
        <v>20</v>
      </c>
      <c r="F3" t="s">
        <v>21</v>
      </c>
      <c r="G3">
        <v>10</v>
      </c>
      <c r="H3">
        <v>8500</v>
      </c>
      <c r="I3">
        <v>85000</v>
      </c>
      <c r="J3">
        <v>90000</v>
      </c>
      <c r="K3">
        <f>MONTH(SalesData[[#This Row],[Date]])</f>
        <v>1</v>
      </c>
      <c r="L3">
        <f>ROUNDUP(MONTH(SalesData[[#This Row],[Date]])/3,0)</f>
        <v>1</v>
      </c>
      <c r="M3">
        <f>YEAR(SalesData[[#This Row],[Date]])</f>
        <v>2024</v>
      </c>
      <c r="N3" s="4"/>
    </row>
    <row r="4" spans="1:14" x14ac:dyDescent="0.3">
      <c r="A4" t="s">
        <v>22</v>
      </c>
      <c r="B4">
        <v>45303</v>
      </c>
      <c r="C4" t="s">
        <v>24</v>
      </c>
      <c r="D4" t="s">
        <v>25</v>
      </c>
      <c r="E4" t="s">
        <v>14</v>
      </c>
      <c r="F4" t="s">
        <v>15</v>
      </c>
      <c r="G4">
        <v>2</v>
      </c>
      <c r="H4">
        <v>45000</v>
      </c>
      <c r="I4">
        <v>90000</v>
      </c>
      <c r="J4">
        <v>80000</v>
      </c>
      <c r="K4">
        <f>MONTH(SalesData[[#This Row],[Date]])</f>
        <v>1</v>
      </c>
      <c r="L4">
        <f>ROUNDUP(MONTH(SalesData[[#This Row],[Date]])/3,0)</f>
        <v>1</v>
      </c>
      <c r="M4">
        <f>YEAR(SalesData[[#This Row],[Date]])</f>
        <v>2024</v>
      </c>
      <c r="N4" s="4"/>
    </row>
    <row r="5" spans="1:14" x14ac:dyDescent="0.3">
      <c r="A5" t="s">
        <v>26</v>
      </c>
      <c r="B5">
        <v>45306</v>
      </c>
      <c r="C5" t="s">
        <v>12</v>
      </c>
      <c r="D5" t="s">
        <v>13</v>
      </c>
      <c r="E5" t="s">
        <v>29</v>
      </c>
      <c r="F5" t="s">
        <v>30</v>
      </c>
      <c r="G5">
        <v>15</v>
      </c>
      <c r="H5">
        <v>1200</v>
      </c>
      <c r="I5">
        <v>18000</v>
      </c>
      <c r="J5">
        <v>20000</v>
      </c>
      <c r="K5">
        <f>MONTH(SalesData[[#This Row],[Date]])</f>
        <v>1</v>
      </c>
      <c r="L5">
        <f>ROUNDUP(MONTH(SalesData[[#This Row],[Date]])/3,0)</f>
        <v>1</v>
      </c>
      <c r="M5">
        <f>YEAR(SalesData[[#This Row],[Date]])</f>
        <v>2024</v>
      </c>
      <c r="N5" s="4"/>
    </row>
    <row r="6" spans="1:14" x14ac:dyDescent="0.3">
      <c r="A6" t="s">
        <v>31</v>
      </c>
      <c r="B6">
        <v>45311</v>
      </c>
      <c r="C6" t="s">
        <v>33</v>
      </c>
      <c r="D6" t="s">
        <v>47</v>
      </c>
      <c r="E6" t="s">
        <v>35</v>
      </c>
      <c r="F6" t="s">
        <v>15</v>
      </c>
      <c r="G6">
        <v>5</v>
      </c>
      <c r="H6">
        <v>22000</v>
      </c>
      <c r="I6">
        <v>110000</v>
      </c>
      <c r="J6">
        <v>100000</v>
      </c>
      <c r="K6">
        <f>MONTH(SalesData[[#This Row],[Date]])</f>
        <v>1</v>
      </c>
      <c r="L6">
        <f>ROUNDUP(MONTH(SalesData[[#This Row],[Date]])/3,0)</f>
        <v>1</v>
      </c>
      <c r="M6">
        <f>YEAR(SalesData[[#This Row],[Date]])</f>
        <v>2024</v>
      </c>
      <c r="N6" s="4"/>
    </row>
    <row r="7" spans="1:14" x14ac:dyDescent="0.3">
      <c r="A7" t="s">
        <v>36</v>
      </c>
      <c r="B7">
        <v>45313</v>
      </c>
      <c r="C7" t="s">
        <v>18</v>
      </c>
      <c r="D7" t="s">
        <v>38</v>
      </c>
      <c r="E7" t="s">
        <v>20</v>
      </c>
      <c r="F7" t="s">
        <v>21</v>
      </c>
      <c r="G7">
        <v>8</v>
      </c>
      <c r="H7">
        <v>8500</v>
      </c>
      <c r="I7">
        <v>68000</v>
      </c>
      <c r="J7">
        <v>70000</v>
      </c>
      <c r="K7">
        <f>MONTH(SalesData[[#This Row],[Date]])</f>
        <v>1</v>
      </c>
      <c r="L7">
        <f>ROUNDUP(MONTH(SalesData[[#This Row],[Date]])/3,0)</f>
        <v>1</v>
      </c>
      <c r="M7">
        <f>YEAR(SalesData[[#This Row],[Date]])</f>
        <v>2024</v>
      </c>
      <c r="N7" s="4"/>
    </row>
    <row r="8" spans="1:14" x14ac:dyDescent="0.3">
      <c r="A8" t="s">
        <v>39</v>
      </c>
      <c r="B8">
        <v>45325</v>
      </c>
      <c r="C8" t="s">
        <v>24</v>
      </c>
      <c r="D8" t="s">
        <v>25</v>
      </c>
      <c r="E8" t="s">
        <v>35</v>
      </c>
      <c r="F8" t="s">
        <v>15</v>
      </c>
      <c r="G8">
        <v>4</v>
      </c>
      <c r="H8">
        <v>22000</v>
      </c>
      <c r="I8">
        <v>88000</v>
      </c>
      <c r="J8">
        <v>85000</v>
      </c>
      <c r="K8">
        <f>MONTH(SalesData[[#This Row],[Date]])</f>
        <v>2</v>
      </c>
      <c r="L8">
        <f>ROUNDUP(MONTH(SalesData[[#This Row],[Date]])/3,0)</f>
        <v>1</v>
      </c>
      <c r="M8">
        <f>YEAR(SalesData[[#This Row],[Date]])</f>
        <v>2024</v>
      </c>
      <c r="N8" s="4"/>
    </row>
    <row r="9" spans="1:14" x14ac:dyDescent="0.3">
      <c r="A9" t="s">
        <v>42</v>
      </c>
      <c r="B9">
        <v>45329</v>
      </c>
      <c r="C9" t="s">
        <v>12</v>
      </c>
      <c r="D9" t="s">
        <v>13</v>
      </c>
      <c r="E9" t="s">
        <v>14</v>
      </c>
      <c r="F9" t="s">
        <v>15</v>
      </c>
      <c r="G9">
        <v>5</v>
      </c>
      <c r="H9">
        <v>45000</v>
      </c>
      <c r="I9">
        <v>225000</v>
      </c>
      <c r="J9">
        <v>200000</v>
      </c>
      <c r="K9">
        <f>MONTH(SalesData[[#This Row],[Date]])</f>
        <v>2</v>
      </c>
      <c r="L9">
        <f>ROUNDUP(MONTH(SalesData[[#This Row],[Date]])/3,0)</f>
        <v>1</v>
      </c>
      <c r="M9">
        <f>YEAR(SalesData[[#This Row],[Date]])</f>
        <v>2024</v>
      </c>
      <c r="N9" s="4"/>
    </row>
    <row r="10" spans="1:14" x14ac:dyDescent="0.3">
      <c r="A10" t="s">
        <v>44</v>
      </c>
      <c r="B10">
        <v>45329</v>
      </c>
      <c r="C10" t="s">
        <v>46</v>
      </c>
      <c r="D10" t="s">
        <v>47</v>
      </c>
      <c r="E10" t="s">
        <v>48</v>
      </c>
      <c r="F10" t="s">
        <v>30</v>
      </c>
      <c r="G10">
        <v>20</v>
      </c>
      <c r="H10">
        <v>3500</v>
      </c>
      <c r="I10">
        <v>70000</v>
      </c>
      <c r="J10">
        <v>65000</v>
      </c>
      <c r="K10">
        <f>MONTH(SalesData[[#This Row],[Date]])</f>
        <v>2</v>
      </c>
      <c r="L10">
        <f>ROUNDUP(MONTH(SalesData[[#This Row],[Date]])/3,0)</f>
        <v>1</v>
      </c>
      <c r="M10">
        <f>YEAR(SalesData[[#This Row],[Date]])</f>
        <v>2024</v>
      </c>
      <c r="N10" s="4"/>
    </row>
    <row r="11" spans="1:14" x14ac:dyDescent="0.3">
      <c r="A11" t="s">
        <v>49</v>
      </c>
      <c r="B11">
        <v>45336</v>
      </c>
      <c r="C11" t="s">
        <v>33</v>
      </c>
      <c r="D11" t="s">
        <v>47</v>
      </c>
      <c r="E11" t="s">
        <v>14</v>
      </c>
      <c r="F11" t="s">
        <v>15</v>
      </c>
      <c r="G11">
        <v>3</v>
      </c>
      <c r="H11">
        <v>45000</v>
      </c>
      <c r="I11">
        <v>135000</v>
      </c>
      <c r="J11">
        <v>130000</v>
      </c>
      <c r="K11">
        <f>MONTH(SalesData[[#This Row],[Date]])</f>
        <v>2</v>
      </c>
      <c r="L11">
        <f>ROUNDUP(MONTH(SalesData[[#This Row],[Date]])/3,0)</f>
        <v>1</v>
      </c>
      <c r="M11">
        <f>YEAR(SalesData[[#This Row],[Date]])</f>
        <v>2024</v>
      </c>
      <c r="N11" s="4"/>
    </row>
    <row r="12" spans="1:14" x14ac:dyDescent="0.3">
      <c r="A12" t="s">
        <v>52</v>
      </c>
      <c r="B12">
        <v>45340</v>
      </c>
      <c r="C12" t="s">
        <v>18</v>
      </c>
      <c r="D12" t="s">
        <v>38</v>
      </c>
      <c r="E12" t="s">
        <v>29</v>
      </c>
      <c r="F12" t="s">
        <v>30</v>
      </c>
      <c r="G12">
        <v>25</v>
      </c>
      <c r="H12">
        <v>1200</v>
      </c>
      <c r="I12">
        <v>30000</v>
      </c>
      <c r="J12">
        <v>28000</v>
      </c>
      <c r="K12">
        <f>MONTH(SalesData[[#This Row],[Date]])</f>
        <v>2</v>
      </c>
      <c r="L12">
        <f>ROUNDUP(MONTH(SalesData[[#This Row],[Date]])/3,0)</f>
        <v>1</v>
      </c>
      <c r="M12">
        <f>YEAR(SalesData[[#This Row],[Date]])</f>
        <v>2024</v>
      </c>
      <c r="N12" s="4"/>
    </row>
    <row r="13" spans="1:14" x14ac:dyDescent="0.3">
      <c r="A13" t="s">
        <v>54</v>
      </c>
      <c r="B13">
        <v>45347</v>
      </c>
      <c r="C13" t="s">
        <v>24</v>
      </c>
      <c r="D13" t="s">
        <v>25</v>
      </c>
      <c r="E13" t="s">
        <v>48</v>
      </c>
      <c r="F13" t="s">
        <v>30</v>
      </c>
      <c r="G13">
        <v>12</v>
      </c>
      <c r="H13">
        <v>3500</v>
      </c>
      <c r="I13">
        <v>42000</v>
      </c>
      <c r="J13">
        <v>40000</v>
      </c>
      <c r="K13">
        <f>MONTH(SalesData[[#This Row],[Date]])</f>
        <v>2</v>
      </c>
      <c r="L13">
        <f>ROUNDUP(MONTH(SalesData[[#This Row],[Date]])/3,0)</f>
        <v>1</v>
      </c>
      <c r="M13">
        <f>YEAR(SalesData[[#This Row],[Date]])</f>
        <v>2024</v>
      </c>
      <c r="N13" s="4"/>
    </row>
    <row r="14" spans="1:14" x14ac:dyDescent="0.3">
      <c r="A14" t="s">
        <v>56</v>
      </c>
      <c r="B14">
        <v>45353</v>
      </c>
      <c r="C14" t="s">
        <v>12</v>
      </c>
      <c r="D14" t="s">
        <v>13</v>
      </c>
      <c r="E14" t="s">
        <v>35</v>
      </c>
      <c r="F14" t="s">
        <v>15</v>
      </c>
      <c r="G14">
        <v>6</v>
      </c>
      <c r="H14">
        <v>22000</v>
      </c>
      <c r="I14">
        <v>132000</v>
      </c>
      <c r="J14">
        <v>125000</v>
      </c>
      <c r="K14">
        <f>MONTH(SalesData[[#This Row],[Date]])</f>
        <v>3</v>
      </c>
      <c r="L14">
        <f>ROUNDUP(MONTH(SalesData[[#This Row],[Date]])/3,0)</f>
        <v>1</v>
      </c>
      <c r="M14">
        <f>YEAR(SalesData[[#This Row],[Date]])</f>
        <v>2024</v>
      </c>
      <c r="N14" s="4"/>
    </row>
    <row r="15" spans="1:14" x14ac:dyDescent="0.3">
      <c r="A15" t="s">
        <v>59</v>
      </c>
      <c r="B15">
        <v>45359</v>
      </c>
      <c r="C15" t="s">
        <v>46</v>
      </c>
      <c r="D15" t="s">
        <v>47</v>
      </c>
      <c r="E15" t="s">
        <v>20</v>
      </c>
      <c r="F15" t="s">
        <v>21</v>
      </c>
      <c r="G15">
        <v>15</v>
      </c>
      <c r="H15">
        <v>8500</v>
      </c>
      <c r="I15">
        <v>127500</v>
      </c>
      <c r="J15">
        <v>120000</v>
      </c>
      <c r="K15">
        <f>MONTH(SalesData[[#This Row],[Date]])</f>
        <v>3</v>
      </c>
      <c r="L15">
        <f>ROUNDUP(MONTH(SalesData[[#This Row],[Date]])/3,0)</f>
        <v>1</v>
      </c>
      <c r="M15">
        <f>YEAR(SalesData[[#This Row],[Date]])</f>
        <v>2024</v>
      </c>
      <c r="N15" s="4"/>
    </row>
    <row r="16" spans="1:14" x14ac:dyDescent="0.3">
      <c r="A16" t="s">
        <v>61</v>
      </c>
      <c r="B16">
        <v>45361</v>
      </c>
      <c r="C16" t="s">
        <v>33</v>
      </c>
      <c r="D16" t="s">
        <v>47</v>
      </c>
      <c r="E16" t="s">
        <v>14</v>
      </c>
      <c r="F16" t="s">
        <v>15</v>
      </c>
      <c r="G16">
        <v>4</v>
      </c>
      <c r="H16">
        <v>45000</v>
      </c>
      <c r="I16">
        <v>180000</v>
      </c>
      <c r="J16">
        <v>170000</v>
      </c>
      <c r="K16">
        <f>MONTH(SalesData[[#This Row],[Date]])</f>
        <v>3</v>
      </c>
      <c r="L16">
        <f>ROUNDUP(MONTH(SalesData[[#This Row],[Date]])/3,0)</f>
        <v>1</v>
      </c>
      <c r="M16">
        <f>YEAR(SalesData[[#This Row],[Date]])</f>
        <v>2024</v>
      </c>
      <c r="N16" s="4"/>
    </row>
    <row r="17" spans="1:14" x14ac:dyDescent="0.3">
      <c r="A17" t="s">
        <v>64</v>
      </c>
      <c r="B17">
        <v>45366</v>
      </c>
      <c r="C17" t="s">
        <v>18</v>
      </c>
      <c r="D17" t="s">
        <v>38</v>
      </c>
      <c r="E17" t="s">
        <v>35</v>
      </c>
      <c r="F17" t="s">
        <v>15</v>
      </c>
      <c r="G17">
        <v>7</v>
      </c>
      <c r="H17">
        <v>22000</v>
      </c>
      <c r="I17">
        <v>154000</v>
      </c>
      <c r="J17">
        <v>150000</v>
      </c>
      <c r="K17">
        <f>MONTH(SalesData[[#This Row],[Date]])</f>
        <v>3</v>
      </c>
      <c r="L17">
        <f>ROUNDUP(MONTH(SalesData[[#This Row],[Date]])/3,0)</f>
        <v>1</v>
      </c>
      <c r="M17">
        <f>YEAR(SalesData[[#This Row],[Date]])</f>
        <v>2024</v>
      </c>
      <c r="N17" s="4"/>
    </row>
    <row r="18" spans="1:14" x14ac:dyDescent="0.3">
      <c r="A18" t="s">
        <v>66</v>
      </c>
      <c r="B18">
        <v>45371</v>
      </c>
      <c r="C18" t="s">
        <v>24</v>
      </c>
      <c r="D18" t="s">
        <v>25</v>
      </c>
      <c r="E18" t="s">
        <v>20</v>
      </c>
      <c r="F18" t="s">
        <v>21</v>
      </c>
      <c r="G18">
        <v>6</v>
      </c>
      <c r="H18">
        <v>8500</v>
      </c>
      <c r="I18">
        <v>51000</v>
      </c>
      <c r="J18">
        <v>55000</v>
      </c>
      <c r="K18">
        <f>MONTH(SalesData[[#This Row],[Date]])</f>
        <v>3</v>
      </c>
      <c r="L18">
        <f>ROUNDUP(MONTH(SalesData[[#This Row],[Date]])/3,0)</f>
        <v>1</v>
      </c>
      <c r="M18">
        <f>YEAR(SalesData[[#This Row],[Date]])</f>
        <v>2024</v>
      </c>
      <c r="N18" s="4"/>
    </row>
    <row r="19" spans="1:14" x14ac:dyDescent="0.3">
      <c r="A19" t="s">
        <v>68</v>
      </c>
      <c r="B19">
        <v>45371</v>
      </c>
      <c r="C19" t="s">
        <v>12</v>
      </c>
      <c r="D19" t="s">
        <v>13</v>
      </c>
      <c r="E19" t="s">
        <v>48</v>
      </c>
      <c r="F19" t="s">
        <v>30</v>
      </c>
      <c r="G19">
        <v>30</v>
      </c>
      <c r="H19">
        <v>3500</v>
      </c>
      <c r="I19">
        <v>105000</v>
      </c>
      <c r="J19">
        <v>100000</v>
      </c>
      <c r="K19">
        <f>MONTH(SalesData[[#This Row],[Date]])</f>
        <v>3</v>
      </c>
      <c r="L19">
        <f>ROUNDUP(MONTH(SalesData[[#This Row],[Date]])/3,0)</f>
        <v>1</v>
      </c>
      <c r="M19">
        <f>YEAR(SalesData[[#This Row],[Date]])</f>
        <v>2024</v>
      </c>
      <c r="N19" s="4"/>
    </row>
    <row r="20" spans="1:14" x14ac:dyDescent="0.3">
      <c r="A20" t="s">
        <v>70</v>
      </c>
      <c r="B20">
        <v>45384</v>
      </c>
      <c r="C20" t="s">
        <v>18</v>
      </c>
      <c r="D20" t="s">
        <v>38</v>
      </c>
      <c r="E20" t="s">
        <v>29</v>
      </c>
      <c r="F20" t="s">
        <v>30</v>
      </c>
      <c r="G20">
        <v>40</v>
      </c>
      <c r="H20">
        <v>1200</v>
      </c>
      <c r="I20">
        <v>48000</v>
      </c>
      <c r="J20">
        <v>45000</v>
      </c>
      <c r="K20">
        <f>MONTH(SalesData[[#This Row],[Date]])</f>
        <v>4</v>
      </c>
      <c r="L20">
        <f>ROUNDUP(MONTH(SalesData[[#This Row],[Date]])/3,0)</f>
        <v>2</v>
      </c>
      <c r="M20">
        <f>YEAR(SalesData[[#This Row],[Date]])</f>
        <v>2024</v>
      </c>
      <c r="N20" s="4"/>
    </row>
    <row r="21" spans="1:14" x14ac:dyDescent="0.3">
      <c r="A21" t="s">
        <v>72</v>
      </c>
      <c r="B21">
        <v>45388</v>
      </c>
      <c r="C21" t="s">
        <v>33</v>
      </c>
      <c r="D21" t="s">
        <v>47</v>
      </c>
      <c r="E21" t="s">
        <v>35</v>
      </c>
      <c r="F21" t="s">
        <v>15</v>
      </c>
      <c r="G21">
        <v>5</v>
      </c>
      <c r="H21">
        <v>22000</v>
      </c>
      <c r="I21">
        <v>110000</v>
      </c>
      <c r="J21">
        <v>105000</v>
      </c>
      <c r="K21">
        <f>MONTH(SalesData[[#This Row],[Date]])</f>
        <v>4</v>
      </c>
      <c r="L21">
        <f>ROUNDUP(MONTH(SalesData[[#This Row],[Date]])/3,0)</f>
        <v>2</v>
      </c>
      <c r="M21">
        <f>YEAR(SalesData[[#This Row],[Date]])</f>
        <v>2024</v>
      </c>
      <c r="N21" s="4"/>
    </row>
    <row r="22" spans="1:14" x14ac:dyDescent="0.3">
      <c r="A22" t="s">
        <v>74</v>
      </c>
      <c r="B22">
        <v>45393</v>
      </c>
      <c r="C22" t="s">
        <v>24</v>
      </c>
      <c r="D22" t="s">
        <v>25</v>
      </c>
      <c r="E22" t="s">
        <v>14</v>
      </c>
      <c r="F22" t="s">
        <v>15</v>
      </c>
      <c r="G22">
        <v>3</v>
      </c>
      <c r="H22">
        <v>45000</v>
      </c>
      <c r="I22">
        <v>135000</v>
      </c>
      <c r="J22">
        <v>130000</v>
      </c>
      <c r="K22">
        <f>MONTH(SalesData[[#This Row],[Date]])</f>
        <v>4</v>
      </c>
      <c r="L22">
        <f>ROUNDUP(MONTH(SalesData[[#This Row],[Date]])/3,0)</f>
        <v>2</v>
      </c>
      <c r="M22">
        <f>YEAR(SalesData[[#This Row],[Date]])</f>
        <v>2024</v>
      </c>
      <c r="N22" s="4"/>
    </row>
    <row r="23" spans="1:14" x14ac:dyDescent="0.3">
      <c r="A23" t="s">
        <v>76</v>
      </c>
      <c r="B23">
        <v>45397</v>
      </c>
      <c r="C23" t="s">
        <v>116</v>
      </c>
      <c r="D23" t="s">
        <v>13</v>
      </c>
      <c r="E23" t="s">
        <v>48</v>
      </c>
      <c r="F23" t="s">
        <v>30</v>
      </c>
      <c r="G23">
        <v>18</v>
      </c>
      <c r="H23">
        <v>3500</v>
      </c>
      <c r="I23">
        <v>63000</v>
      </c>
      <c r="J23">
        <v>60000</v>
      </c>
      <c r="K23">
        <f>MONTH(SalesData[[#This Row],[Date]])</f>
        <v>4</v>
      </c>
      <c r="L23">
        <f>ROUNDUP(MONTH(SalesData[[#This Row],[Date]])/3,0)</f>
        <v>2</v>
      </c>
      <c r="M23">
        <f>YEAR(SalesData[[#This Row],[Date]])</f>
        <v>2024</v>
      </c>
      <c r="N23" s="4"/>
    </row>
    <row r="24" spans="1:14" x14ac:dyDescent="0.3">
      <c r="A24" t="s">
        <v>78</v>
      </c>
      <c r="B24">
        <v>45402</v>
      </c>
      <c r="C24" t="s">
        <v>18</v>
      </c>
      <c r="D24" t="s">
        <v>38</v>
      </c>
      <c r="E24" t="s">
        <v>14</v>
      </c>
      <c r="F24" t="s">
        <v>15</v>
      </c>
      <c r="G24">
        <v>4</v>
      </c>
      <c r="H24">
        <v>45000</v>
      </c>
      <c r="I24">
        <v>180000</v>
      </c>
      <c r="J24">
        <v>175000</v>
      </c>
      <c r="K24">
        <f>MONTH(SalesData[[#This Row],[Date]])</f>
        <v>4</v>
      </c>
      <c r="L24">
        <f>ROUNDUP(MONTH(SalesData[[#This Row],[Date]])/3,0)</f>
        <v>2</v>
      </c>
      <c r="M24">
        <f>YEAR(SalesData[[#This Row],[Date]])</f>
        <v>2024</v>
      </c>
      <c r="N24" s="4"/>
    </row>
    <row r="25" spans="1:14" x14ac:dyDescent="0.3">
      <c r="A25" t="s">
        <v>80</v>
      </c>
      <c r="B25">
        <v>45407</v>
      </c>
      <c r="C25" t="s">
        <v>12</v>
      </c>
      <c r="D25" t="s">
        <v>13</v>
      </c>
      <c r="E25" t="s">
        <v>20</v>
      </c>
      <c r="F25" t="s">
        <v>21</v>
      </c>
      <c r="G25">
        <v>9</v>
      </c>
      <c r="H25">
        <v>8500</v>
      </c>
      <c r="I25">
        <v>76500</v>
      </c>
      <c r="J25">
        <v>75000</v>
      </c>
      <c r="K25">
        <f>MONTH(SalesData[[#This Row],[Date]])</f>
        <v>4</v>
      </c>
      <c r="L25">
        <f>ROUNDUP(MONTH(SalesData[[#This Row],[Date]])/3,0)</f>
        <v>2</v>
      </c>
      <c r="M25">
        <f>YEAR(SalesData[[#This Row],[Date]])</f>
        <v>2024</v>
      </c>
      <c r="N25" s="4"/>
    </row>
    <row r="26" spans="1:14" x14ac:dyDescent="0.3">
      <c r="A26" t="s">
        <v>83</v>
      </c>
      <c r="B26">
        <v>45415</v>
      </c>
      <c r="C26" t="s">
        <v>46</v>
      </c>
      <c r="D26" t="s">
        <v>47</v>
      </c>
      <c r="E26" t="s">
        <v>35</v>
      </c>
      <c r="F26" t="s">
        <v>15</v>
      </c>
      <c r="G26">
        <v>8</v>
      </c>
      <c r="H26">
        <v>22000</v>
      </c>
      <c r="I26">
        <v>176000</v>
      </c>
      <c r="J26">
        <v>165000</v>
      </c>
      <c r="K26">
        <f>MONTH(SalesData[[#This Row],[Date]])</f>
        <v>5</v>
      </c>
      <c r="L26">
        <f>ROUNDUP(MONTH(SalesData[[#This Row],[Date]])/3,0)</f>
        <v>2</v>
      </c>
      <c r="M26">
        <f>YEAR(SalesData[[#This Row],[Date]])</f>
        <v>2024</v>
      </c>
      <c r="N26" s="4"/>
    </row>
    <row r="27" spans="1:14" x14ac:dyDescent="0.3">
      <c r="A27" t="s">
        <v>85</v>
      </c>
      <c r="B27">
        <v>45421</v>
      </c>
      <c r="C27" t="s">
        <v>33</v>
      </c>
      <c r="D27" t="s">
        <v>47</v>
      </c>
      <c r="E27" t="s">
        <v>29</v>
      </c>
      <c r="F27" t="s">
        <v>30</v>
      </c>
      <c r="G27">
        <v>35</v>
      </c>
      <c r="H27">
        <v>1200</v>
      </c>
      <c r="I27">
        <v>42000</v>
      </c>
      <c r="J27">
        <v>40000</v>
      </c>
      <c r="K27">
        <f>MONTH(SalesData[[#This Row],[Date]])</f>
        <v>5</v>
      </c>
      <c r="L27">
        <f>ROUNDUP(MONTH(SalesData[[#This Row],[Date]])/3,0)</f>
        <v>2</v>
      </c>
      <c r="M27">
        <f>YEAR(SalesData[[#This Row],[Date]])</f>
        <v>2024</v>
      </c>
      <c r="N27" s="4"/>
    </row>
    <row r="28" spans="1:14" x14ac:dyDescent="0.3">
      <c r="A28" t="s">
        <v>88</v>
      </c>
      <c r="B28">
        <v>45426</v>
      </c>
      <c r="C28" t="s">
        <v>24</v>
      </c>
      <c r="D28" t="s">
        <v>25</v>
      </c>
      <c r="E28" t="s">
        <v>48</v>
      </c>
      <c r="F28" t="s">
        <v>30</v>
      </c>
      <c r="G28">
        <v>22</v>
      </c>
      <c r="H28">
        <v>3500</v>
      </c>
      <c r="I28">
        <v>77000</v>
      </c>
      <c r="J28">
        <v>75000</v>
      </c>
      <c r="K28">
        <f>MONTH(SalesData[[#This Row],[Date]])</f>
        <v>5</v>
      </c>
      <c r="L28">
        <f>ROUNDUP(MONTH(SalesData[[#This Row],[Date]])/3,0)</f>
        <v>2</v>
      </c>
      <c r="M28">
        <f>YEAR(SalesData[[#This Row],[Date]])</f>
        <v>2024</v>
      </c>
      <c r="N28" s="4"/>
    </row>
    <row r="29" spans="1:14" x14ac:dyDescent="0.3">
      <c r="A29" t="s">
        <v>90</v>
      </c>
      <c r="B29">
        <v>45431</v>
      </c>
      <c r="C29" t="s">
        <v>12</v>
      </c>
      <c r="D29" t="s">
        <v>13</v>
      </c>
      <c r="E29" t="s">
        <v>14</v>
      </c>
      <c r="F29" t="s">
        <v>15</v>
      </c>
      <c r="G29">
        <v>6</v>
      </c>
      <c r="H29">
        <v>45000</v>
      </c>
      <c r="I29">
        <v>270000</v>
      </c>
      <c r="J29">
        <v>260000</v>
      </c>
      <c r="K29">
        <f>MONTH(SalesData[[#This Row],[Date]])</f>
        <v>5</v>
      </c>
      <c r="L29">
        <f>ROUNDUP(MONTH(SalesData[[#This Row],[Date]])/3,0)</f>
        <v>2</v>
      </c>
      <c r="M29">
        <f>YEAR(SalesData[[#This Row],[Date]])</f>
        <v>2024</v>
      </c>
      <c r="N29" s="4"/>
    </row>
    <row r="30" spans="1:14" x14ac:dyDescent="0.3">
      <c r="A30" t="s">
        <v>92</v>
      </c>
      <c r="B30">
        <v>45434</v>
      </c>
      <c r="C30" t="s">
        <v>18</v>
      </c>
      <c r="D30" t="s">
        <v>38</v>
      </c>
      <c r="E30" t="s">
        <v>35</v>
      </c>
      <c r="F30" t="s">
        <v>15</v>
      </c>
      <c r="G30">
        <v>9</v>
      </c>
      <c r="H30">
        <v>22000</v>
      </c>
      <c r="I30">
        <v>198000</v>
      </c>
      <c r="J30">
        <v>190000</v>
      </c>
      <c r="K30">
        <f>MONTH(SalesData[[#This Row],[Date]])</f>
        <v>5</v>
      </c>
      <c r="L30">
        <f>ROUNDUP(MONTH(SalesData[[#This Row],[Date]])/3,0)</f>
        <v>2</v>
      </c>
      <c r="M30">
        <f>YEAR(SalesData[[#This Row],[Date]])</f>
        <v>2024</v>
      </c>
      <c r="N30" s="4"/>
    </row>
    <row r="31" spans="1:14" x14ac:dyDescent="0.3">
      <c r="A31" t="s">
        <v>94</v>
      </c>
      <c r="B31">
        <v>45440</v>
      </c>
      <c r="C31" t="s">
        <v>46</v>
      </c>
      <c r="D31" t="s">
        <v>47</v>
      </c>
      <c r="E31" t="s">
        <v>20</v>
      </c>
      <c r="F31" t="s">
        <v>21</v>
      </c>
      <c r="G31">
        <v>12</v>
      </c>
      <c r="H31">
        <v>8500</v>
      </c>
      <c r="I31">
        <v>102000</v>
      </c>
      <c r="J31">
        <v>100000</v>
      </c>
      <c r="K31">
        <f>MONTH(SalesData[[#This Row],[Date]])</f>
        <v>5</v>
      </c>
      <c r="L31">
        <f>ROUNDUP(MONTH(SalesData[[#This Row],[Date]])/3,0)</f>
        <v>2</v>
      </c>
      <c r="M31">
        <f>YEAR(SalesData[[#This Row],[Date]])</f>
        <v>2024</v>
      </c>
      <c r="N31" s="4"/>
    </row>
    <row r="32" spans="1:14" x14ac:dyDescent="0.3">
      <c r="A32" t="s">
        <v>96</v>
      </c>
      <c r="B32">
        <v>45447</v>
      </c>
      <c r="C32" t="s">
        <v>33</v>
      </c>
      <c r="D32" t="s">
        <v>47</v>
      </c>
      <c r="E32" t="s">
        <v>14</v>
      </c>
      <c r="F32" t="s">
        <v>15</v>
      </c>
      <c r="G32">
        <v>5</v>
      </c>
      <c r="H32">
        <v>45000</v>
      </c>
      <c r="I32">
        <v>225000</v>
      </c>
      <c r="J32">
        <v>220000</v>
      </c>
      <c r="K32">
        <f>MONTH(SalesData[[#This Row],[Date]])</f>
        <v>6</v>
      </c>
      <c r="L32">
        <f>ROUNDUP(MONTH(SalesData[[#This Row],[Date]])/3,0)</f>
        <v>2</v>
      </c>
      <c r="M32">
        <f>YEAR(SalesData[[#This Row],[Date]])</f>
        <v>2024</v>
      </c>
      <c r="N32" s="4"/>
    </row>
    <row r="33" spans="1:14" x14ac:dyDescent="0.3">
      <c r="A33" t="s">
        <v>98</v>
      </c>
      <c r="B33">
        <v>45453</v>
      </c>
      <c r="C33" t="s">
        <v>24</v>
      </c>
      <c r="D33" t="s">
        <v>25</v>
      </c>
      <c r="E33" t="s">
        <v>29</v>
      </c>
      <c r="F33" t="s">
        <v>30</v>
      </c>
      <c r="G33">
        <v>28</v>
      </c>
      <c r="H33">
        <v>1200</v>
      </c>
      <c r="I33">
        <v>33600</v>
      </c>
      <c r="J33">
        <v>32000</v>
      </c>
      <c r="K33">
        <f>MONTH(SalesData[[#This Row],[Date]])</f>
        <v>6</v>
      </c>
      <c r="L33">
        <f>ROUNDUP(MONTH(SalesData[[#This Row],[Date]])/3,0)</f>
        <v>2</v>
      </c>
      <c r="M33">
        <f>YEAR(SalesData[[#This Row],[Date]])</f>
        <v>2024</v>
      </c>
      <c r="N33" s="4"/>
    </row>
    <row r="34" spans="1:14" x14ac:dyDescent="0.3">
      <c r="A34" t="s">
        <v>100</v>
      </c>
      <c r="B34">
        <v>45459</v>
      </c>
      <c r="C34" t="s">
        <v>12</v>
      </c>
      <c r="D34" t="s">
        <v>13</v>
      </c>
      <c r="E34" t="s">
        <v>35</v>
      </c>
      <c r="F34" t="s">
        <v>15</v>
      </c>
      <c r="G34">
        <v>7</v>
      </c>
      <c r="H34">
        <v>22000</v>
      </c>
      <c r="I34">
        <v>154000</v>
      </c>
      <c r="J34">
        <v>150000</v>
      </c>
      <c r="K34">
        <f>MONTH(SalesData[[#This Row],[Date]])</f>
        <v>6</v>
      </c>
      <c r="L34">
        <f>ROUNDUP(MONTH(SalesData[[#This Row],[Date]])/3,0)</f>
        <v>2</v>
      </c>
      <c r="M34">
        <f>YEAR(SalesData[[#This Row],[Date]])</f>
        <v>2024</v>
      </c>
      <c r="N34" s="4"/>
    </row>
    <row r="35" spans="1:14" x14ac:dyDescent="0.3">
      <c r="A35" t="s">
        <v>102</v>
      </c>
      <c r="B35">
        <v>45464</v>
      </c>
      <c r="C35" t="s">
        <v>46</v>
      </c>
      <c r="D35" t="s">
        <v>47</v>
      </c>
      <c r="E35" t="s">
        <v>48</v>
      </c>
      <c r="F35" t="s">
        <v>30</v>
      </c>
      <c r="G35">
        <v>25</v>
      </c>
      <c r="H35">
        <v>3500</v>
      </c>
      <c r="I35">
        <v>87500</v>
      </c>
      <c r="J35">
        <v>85000</v>
      </c>
      <c r="K35">
        <f>MONTH(SalesData[[#This Row],[Date]])</f>
        <v>6</v>
      </c>
      <c r="L35">
        <f>ROUNDUP(MONTH(SalesData[[#This Row],[Date]])/3,0)</f>
        <v>2</v>
      </c>
      <c r="M35">
        <f>YEAR(SalesData[[#This Row],[Date]])</f>
        <v>2024</v>
      </c>
      <c r="N35" s="4"/>
    </row>
    <row r="36" spans="1:14" x14ac:dyDescent="0.3">
      <c r="A36" t="s">
        <v>104</v>
      </c>
      <c r="B36">
        <v>45470</v>
      </c>
      <c r="C36" t="s">
        <v>18</v>
      </c>
      <c r="D36" t="s">
        <v>38</v>
      </c>
      <c r="E36" t="s">
        <v>14</v>
      </c>
      <c r="F36" t="s">
        <v>15</v>
      </c>
      <c r="G36">
        <v>5</v>
      </c>
      <c r="H36">
        <v>45000</v>
      </c>
      <c r="I36">
        <v>225000</v>
      </c>
      <c r="J36">
        <v>220000</v>
      </c>
      <c r="K36">
        <f>MONTH(SalesData[[#This Row],[Date]])</f>
        <v>6</v>
      </c>
      <c r="L36">
        <f>ROUNDUP(MONTH(SalesData[[#This Row],[Date]])/3,0)</f>
        <v>2</v>
      </c>
      <c r="M36">
        <f>YEAR(SalesData[[#This Row],[Date]])</f>
        <v>2024</v>
      </c>
      <c r="N36" s="4"/>
    </row>
    <row r="37" spans="1:14" x14ac:dyDescent="0.3">
      <c r="A37" t="s">
        <v>106</v>
      </c>
      <c r="B37">
        <v>45475</v>
      </c>
      <c r="C37" t="s">
        <v>33</v>
      </c>
      <c r="D37" t="s">
        <v>47</v>
      </c>
      <c r="E37" t="s">
        <v>20</v>
      </c>
      <c r="F37" t="s">
        <v>21</v>
      </c>
      <c r="G37">
        <v>11</v>
      </c>
      <c r="H37">
        <v>8500</v>
      </c>
      <c r="I37">
        <v>93500</v>
      </c>
      <c r="J37">
        <v>90000</v>
      </c>
      <c r="K37">
        <f>MONTH(SalesData[[#This Row],[Date]])</f>
        <v>7</v>
      </c>
      <c r="L37">
        <f>ROUNDUP(MONTH(SalesData[[#This Row],[Date]])/3,0)</f>
        <v>3</v>
      </c>
      <c r="M37">
        <f>YEAR(SalesData[[#This Row],[Date]])</f>
        <v>2024</v>
      </c>
      <c r="N37" s="4"/>
    </row>
    <row r="38" spans="1:14" x14ac:dyDescent="0.3">
      <c r="A38" t="s">
        <v>107</v>
      </c>
      <c r="B38">
        <v>45481</v>
      </c>
      <c r="C38" t="s">
        <v>24</v>
      </c>
      <c r="D38" t="s">
        <v>25</v>
      </c>
      <c r="E38" t="s">
        <v>35</v>
      </c>
      <c r="F38" t="s">
        <v>15</v>
      </c>
      <c r="G38">
        <v>6</v>
      </c>
      <c r="H38">
        <v>22000</v>
      </c>
      <c r="I38">
        <v>132000</v>
      </c>
      <c r="J38">
        <v>128000</v>
      </c>
      <c r="K38">
        <f>MONTH(SalesData[[#This Row],[Date]])</f>
        <v>7</v>
      </c>
      <c r="L38">
        <f>ROUNDUP(MONTH(SalesData[[#This Row],[Date]])/3,0)</f>
        <v>3</v>
      </c>
      <c r="M38">
        <f>YEAR(SalesData[[#This Row],[Date]])</f>
        <v>2024</v>
      </c>
      <c r="N38" s="4"/>
    </row>
    <row r="39" spans="1:14" x14ac:dyDescent="0.3">
      <c r="A39" t="s">
        <v>110</v>
      </c>
      <c r="B39">
        <v>45486</v>
      </c>
      <c r="C39" t="s">
        <v>12</v>
      </c>
      <c r="D39" t="s">
        <v>13</v>
      </c>
      <c r="E39" t="s">
        <v>48</v>
      </c>
      <c r="F39" t="s">
        <v>30</v>
      </c>
      <c r="G39">
        <v>35</v>
      </c>
      <c r="H39">
        <v>3500</v>
      </c>
      <c r="I39">
        <v>122500</v>
      </c>
      <c r="J39">
        <v>120000</v>
      </c>
      <c r="K39">
        <f>MONTH(SalesData[[#This Row],[Date]])</f>
        <v>7</v>
      </c>
      <c r="L39">
        <f>ROUNDUP(MONTH(SalesData[[#This Row],[Date]])/3,0)</f>
        <v>3</v>
      </c>
      <c r="M39">
        <f>YEAR(SalesData[[#This Row],[Date]])</f>
        <v>2024</v>
      </c>
      <c r="N39" s="4"/>
    </row>
    <row r="40" spans="1:14" x14ac:dyDescent="0.3">
      <c r="A40" t="s">
        <v>112</v>
      </c>
      <c r="B40">
        <v>45492</v>
      </c>
      <c r="C40" t="s">
        <v>46</v>
      </c>
      <c r="D40" t="s">
        <v>47</v>
      </c>
      <c r="E40" t="s">
        <v>14</v>
      </c>
      <c r="F40" t="s">
        <v>15</v>
      </c>
      <c r="G40">
        <v>4</v>
      </c>
      <c r="H40">
        <v>45000</v>
      </c>
      <c r="I40">
        <v>180000</v>
      </c>
      <c r="J40">
        <v>175000</v>
      </c>
      <c r="K40">
        <f>MONTH(SalesData[[#This Row],[Date]])</f>
        <v>7</v>
      </c>
      <c r="L40">
        <f>ROUNDUP(MONTH(SalesData[[#This Row],[Date]])/3,0)</f>
        <v>3</v>
      </c>
      <c r="M40">
        <f>YEAR(SalesData[[#This Row],[Date]])</f>
        <v>2024</v>
      </c>
      <c r="N40" s="4"/>
    </row>
    <row r="41" spans="1:14" x14ac:dyDescent="0.3">
      <c r="A41" t="s">
        <v>114</v>
      </c>
      <c r="B41">
        <v>45497</v>
      </c>
      <c r="C41" t="s">
        <v>18</v>
      </c>
      <c r="D41" t="s">
        <v>38</v>
      </c>
      <c r="E41" t="s">
        <v>29</v>
      </c>
      <c r="F41" t="s">
        <v>30</v>
      </c>
      <c r="G41">
        <v>30</v>
      </c>
      <c r="H41">
        <v>1200</v>
      </c>
      <c r="I41">
        <v>36000</v>
      </c>
      <c r="J41">
        <v>35000</v>
      </c>
      <c r="K41">
        <f>MONTH(SalesData[[#This Row],[Date]])</f>
        <v>7</v>
      </c>
      <c r="L41">
        <f>ROUNDUP(MONTH(SalesData[[#This Row],[Date]])/3,0)</f>
        <v>3</v>
      </c>
      <c r="M41">
        <f>YEAR(SalesData[[#This Row],[Date]])</f>
        <v>2024</v>
      </c>
      <c r="N41" s="4"/>
    </row>
  </sheetData>
  <dataValidations count="2">
    <dataValidation type="list" allowBlank="1" showInputMessage="1" showErrorMessage="1" sqref="D3:D41" xr:uid="{14CC3751-A94A-4545-8182-AD2B2589A994}">
      <formula1>"North,South,East,West"</formula1>
    </dataValidation>
    <dataValidation type="list" allowBlank="1" showInputMessage="1" showErrorMessage="1" sqref="F1:F41 F42:F1048576" xr:uid="{30EDB967-BD7D-47F0-AC30-D871191FB591}">
      <formula1>"Electronics,Furniture,Accessories"</formula1>
    </dataValidation>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0AA4E-0231-43E6-BE04-D7ABFFFD18EC}">
  <dimension ref="B2:N38"/>
  <sheetViews>
    <sheetView showGridLines="0" showRowColHeaders="0" zoomScale="98" zoomScaleNormal="98" workbookViewId="0">
      <selection activeCell="A18" sqref="A18"/>
    </sheetView>
  </sheetViews>
  <sheetFormatPr defaultRowHeight="14.4" x14ac:dyDescent="0.3"/>
  <cols>
    <col min="1" max="26" width="15.5546875" style="34" customWidth="1"/>
    <col min="27" max="16384" width="8.88671875" style="34"/>
  </cols>
  <sheetData>
    <row r="2" spans="2:14" x14ac:dyDescent="0.3">
      <c r="B2" s="10"/>
      <c r="C2" s="10"/>
      <c r="D2" s="10"/>
      <c r="E2" s="10"/>
      <c r="F2" s="10"/>
      <c r="G2" s="10"/>
      <c r="H2" s="10"/>
      <c r="I2" s="10"/>
      <c r="J2" s="10"/>
      <c r="K2" s="10"/>
      <c r="L2" s="10"/>
      <c r="M2" s="10"/>
      <c r="N2" s="10"/>
    </row>
    <row r="3" spans="2:14" ht="21" x14ac:dyDescent="0.4">
      <c r="B3" s="10"/>
      <c r="C3" s="11" t="s">
        <v>131</v>
      </c>
      <c r="D3" s="10"/>
      <c r="E3" s="10"/>
      <c r="F3" s="10"/>
      <c r="G3" s="10"/>
      <c r="H3" s="10"/>
      <c r="I3" s="10"/>
      <c r="J3" s="10"/>
      <c r="K3" s="10"/>
      <c r="L3" s="10"/>
      <c r="M3" s="10"/>
      <c r="N3" s="10"/>
    </row>
    <row r="4" spans="2:14" x14ac:dyDescent="0.3">
      <c r="B4" s="10"/>
      <c r="C4" s="10"/>
      <c r="D4" s="10"/>
      <c r="E4" s="10"/>
      <c r="F4" s="10"/>
      <c r="G4" s="10"/>
      <c r="H4" s="10"/>
      <c r="I4" s="10"/>
      <c r="J4" s="10"/>
      <c r="K4" s="10"/>
      <c r="L4" s="10"/>
      <c r="M4" s="10"/>
      <c r="N4" s="10"/>
    </row>
    <row r="5" spans="2:14" ht="16.05" customHeight="1" x14ac:dyDescent="0.3">
      <c r="B5" s="10"/>
      <c r="C5" s="38" t="s">
        <v>8</v>
      </c>
      <c r="D5" s="38"/>
      <c r="E5" s="10"/>
      <c r="F5" s="40" t="s">
        <v>132</v>
      </c>
      <c r="G5" s="41"/>
      <c r="H5" s="10"/>
      <c r="I5" s="43" t="s">
        <v>133</v>
      </c>
      <c r="J5" s="43"/>
      <c r="K5" s="10"/>
      <c r="L5" s="35" t="s">
        <v>135</v>
      </c>
      <c r="M5" s="36"/>
      <c r="N5" s="10"/>
    </row>
    <row r="6" spans="2:14" ht="16.05" customHeight="1" x14ac:dyDescent="0.3">
      <c r="B6" s="10"/>
      <c r="C6" s="39">
        <f>SUM(Summary!B2:B5)</f>
        <v>4612100</v>
      </c>
      <c r="D6" s="39"/>
      <c r="E6" s="10"/>
      <c r="F6" s="42" t="s">
        <v>47</v>
      </c>
      <c r="G6" s="42"/>
      <c r="H6" s="10"/>
      <c r="I6" s="44" t="s">
        <v>134</v>
      </c>
      <c r="J6" s="44"/>
      <c r="K6" s="10"/>
      <c r="L6" s="37" t="s">
        <v>12</v>
      </c>
      <c r="M6" s="37"/>
      <c r="N6" s="10"/>
    </row>
    <row r="7" spans="2:14" x14ac:dyDescent="0.3">
      <c r="B7" s="10"/>
      <c r="C7" s="10"/>
      <c r="D7" s="10"/>
      <c r="E7" s="10"/>
      <c r="F7" s="10"/>
      <c r="G7" s="10"/>
      <c r="H7" s="10"/>
      <c r="I7" s="10"/>
      <c r="J7" s="10"/>
      <c r="K7" s="10"/>
      <c r="L7" s="10"/>
      <c r="M7" s="10"/>
      <c r="N7" s="10"/>
    </row>
    <row r="8" spans="2:14" x14ac:dyDescent="0.3">
      <c r="B8" s="10"/>
      <c r="C8" s="10"/>
      <c r="D8" s="10"/>
      <c r="E8" s="10"/>
      <c r="F8" s="10"/>
      <c r="G8" s="10"/>
      <c r="H8" s="10"/>
      <c r="I8" s="10"/>
      <c r="J8" s="10"/>
      <c r="K8" s="10"/>
      <c r="L8" s="10"/>
      <c r="M8" s="10"/>
      <c r="N8" s="10"/>
    </row>
    <row r="9" spans="2:14" x14ac:dyDescent="0.3">
      <c r="B9" s="10"/>
      <c r="C9" s="10"/>
      <c r="D9" s="10"/>
      <c r="E9" s="10"/>
      <c r="F9" s="10"/>
      <c r="G9" s="10"/>
      <c r="H9" s="10"/>
      <c r="I9" s="10"/>
      <c r="J9" s="10"/>
      <c r="K9" s="10"/>
      <c r="L9" s="10"/>
      <c r="M9" s="10"/>
      <c r="N9" s="10"/>
    </row>
    <row r="10" spans="2:14" x14ac:dyDescent="0.3">
      <c r="B10" s="10"/>
      <c r="C10" s="10"/>
      <c r="D10" s="10"/>
      <c r="E10" s="10"/>
      <c r="F10" s="10"/>
      <c r="G10" s="10"/>
      <c r="H10" s="10"/>
      <c r="I10" s="10"/>
      <c r="J10" s="10"/>
      <c r="K10" s="10"/>
      <c r="L10" s="10"/>
      <c r="M10" s="10"/>
      <c r="N10" s="10"/>
    </row>
    <row r="11" spans="2:14" x14ac:dyDescent="0.3">
      <c r="B11" s="10"/>
      <c r="C11" s="10"/>
      <c r="D11" s="10"/>
      <c r="E11" s="10"/>
      <c r="F11" s="10"/>
      <c r="G11" s="10"/>
      <c r="H11" s="10"/>
      <c r="I11" s="10"/>
      <c r="J11" s="10"/>
      <c r="K11" s="10"/>
      <c r="L11" s="10"/>
      <c r="M11" s="10"/>
      <c r="N11" s="10"/>
    </row>
    <row r="12" spans="2:14" x14ac:dyDescent="0.3">
      <c r="B12" s="10"/>
      <c r="C12" s="10"/>
      <c r="D12" s="10"/>
      <c r="E12" s="10"/>
      <c r="F12" s="10"/>
      <c r="G12" s="10"/>
      <c r="H12" s="10"/>
      <c r="I12" s="10"/>
      <c r="J12" s="10"/>
      <c r="K12" s="10"/>
      <c r="L12" s="10"/>
      <c r="M12" s="10"/>
      <c r="N12" s="10"/>
    </row>
    <row r="13" spans="2:14" x14ac:dyDescent="0.3">
      <c r="B13" s="10"/>
      <c r="C13" s="10"/>
      <c r="D13" s="10"/>
      <c r="E13" s="10"/>
      <c r="F13" s="10"/>
      <c r="G13" s="10"/>
      <c r="H13" s="10"/>
      <c r="I13" s="10"/>
      <c r="J13" s="10"/>
      <c r="K13" s="10"/>
      <c r="L13" s="10"/>
      <c r="M13" s="10"/>
      <c r="N13" s="10"/>
    </row>
    <row r="14" spans="2:14" x14ac:dyDescent="0.3">
      <c r="B14" s="10"/>
      <c r="C14" s="10"/>
      <c r="D14" s="10"/>
      <c r="E14" s="10"/>
      <c r="F14" s="10"/>
      <c r="G14" s="10"/>
      <c r="H14" s="10"/>
      <c r="I14" s="10"/>
      <c r="J14" s="10"/>
      <c r="K14" s="10"/>
      <c r="L14" s="10"/>
      <c r="M14" s="10"/>
      <c r="N14" s="10"/>
    </row>
    <row r="15" spans="2:14" x14ac:dyDescent="0.3">
      <c r="B15" s="10"/>
      <c r="C15" s="10"/>
      <c r="D15" s="10"/>
      <c r="E15" s="10"/>
      <c r="F15" s="10"/>
      <c r="G15" s="10"/>
      <c r="H15" s="10"/>
      <c r="I15" s="10"/>
      <c r="J15" s="10"/>
      <c r="K15" s="10"/>
      <c r="L15" s="10"/>
      <c r="M15" s="10"/>
      <c r="N15" s="10"/>
    </row>
    <row r="16" spans="2:14" x14ac:dyDescent="0.3">
      <c r="B16" s="10"/>
      <c r="C16" s="10"/>
      <c r="D16" s="10"/>
      <c r="E16" s="10"/>
      <c r="F16" s="10"/>
      <c r="G16" s="10"/>
      <c r="H16" s="10"/>
      <c r="I16" s="10"/>
      <c r="J16" s="10"/>
      <c r="K16" s="10"/>
      <c r="L16" s="10"/>
      <c r="M16" s="10"/>
      <c r="N16" s="10"/>
    </row>
    <row r="17" spans="2:14" x14ac:dyDescent="0.3">
      <c r="B17" s="10"/>
      <c r="C17" s="10"/>
      <c r="D17" s="10"/>
      <c r="E17" s="10"/>
      <c r="F17" s="10"/>
      <c r="G17" s="10"/>
      <c r="H17" s="10"/>
      <c r="I17" s="10"/>
      <c r="J17" s="10"/>
      <c r="K17" s="10"/>
      <c r="L17" s="10"/>
      <c r="M17" s="10"/>
      <c r="N17" s="10"/>
    </row>
    <row r="18" spans="2:14" x14ac:dyDescent="0.3">
      <c r="B18" s="10"/>
      <c r="C18" s="10"/>
      <c r="D18" s="10"/>
      <c r="E18" s="10"/>
      <c r="F18" s="10"/>
      <c r="G18" s="10"/>
      <c r="H18" s="10"/>
      <c r="I18" s="10"/>
      <c r="J18" s="10"/>
      <c r="K18" s="10"/>
      <c r="L18" s="10"/>
      <c r="M18" s="10"/>
      <c r="N18" s="10"/>
    </row>
    <row r="19" spans="2:14" x14ac:dyDescent="0.3">
      <c r="B19" s="10"/>
      <c r="C19" s="10"/>
      <c r="D19" s="10"/>
      <c r="E19" s="10"/>
      <c r="F19" s="10"/>
      <c r="G19" s="10"/>
      <c r="H19" s="10"/>
      <c r="I19" s="10"/>
      <c r="J19" s="10"/>
      <c r="K19" s="10"/>
      <c r="L19" s="10"/>
      <c r="M19" s="10"/>
      <c r="N19" s="10"/>
    </row>
    <row r="20" spans="2:14" x14ac:dyDescent="0.3">
      <c r="B20" s="10"/>
      <c r="C20" s="10"/>
      <c r="D20" s="10"/>
      <c r="E20" s="10"/>
      <c r="F20" s="10"/>
      <c r="G20" s="10"/>
      <c r="H20" s="10"/>
      <c r="I20" s="10"/>
      <c r="J20" s="10"/>
      <c r="K20" s="10"/>
      <c r="L20" s="10"/>
      <c r="M20" s="10"/>
      <c r="N20" s="10"/>
    </row>
    <row r="21" spans="2:14" x14ac:dyDescent="0.3">
      <c r="B21" s="10"/>
      <c r="C21" s="10"/>
      <c r="D21" s="10"/>
      <c r="E21" s="10"/>
      <c r="F21" s="10"/>
      <c r="G21" s="10"/>
      <c r="H21" s="10"/>
      <c r="I21" s="10"/>
      <c r="J21" s="10"/>
      <c r="K21" s="10"/>
      <c r="L21" s="10"/>
      <c r="M21" s="10"/>
      <c r="N21" s="10"/>
    </row>
    <row r="22" spans="2:14" x14ac:dyDescent="0.3">
      <c r="B22" s="10"/>
      <c r="C22" s="10"/>
      <c r="D22" s="10"/>
      <c r="E22" s="10"/>
      <c r="F22" s="10"/>
      <c r="G22" s="10"/>
      <c r="H22" s="10"/>
      <c r="I22" s="10"/>
      <c r="J22" s="10"/>
      <c r="K22" s="10"/>
      <c r="L22" s="10"/>
      <c r="M22" s="10"/>
      <c r="N22" s="10"/>
    </row>
    <row r="23" spans="2:14" x14ac:dyDescent="0.3">
      <c r="B23" s="10"/>
      <c r="C23" s="10"/>
      <c r="D23" s="10"/>
      <c r="E23" s="10"/>
      <c r="F23" s="10"/>
      <c r="G23" s="10"/>
      <c r="H23" s="10"/>
      <c r="I23" s="10"/>
      <c r="J23" s="10"/>
      <c r="K23" s="10"/>
      <c r="L23" s="10"/>
      <c r="M23" s="10"/>
      <c r="N23" s="10"/>
    </row>
    <row r="24" spans="2:14" x14ac:dyDescent="0.3">
      <c r="B24" s="10"/>
      <c r="C24" s="10"/>
      <c r="D24" s="10"/>
      <c r="E24" s="10"/>
      <c r="F24" s="10"/>
      <c r="G24" s="10"/>
      <c r="H24" s="10"/>
      <c r="I24" s="10"/>
      <c r="J24" s="10"/>
      <c r="K24" s="10"/>
      <c r="L24" s="10"/>
      <c r="M24" s="10"/>
      <c r="N24" s="10"/>
    </row>
    <row r="25" spans="2:14" x14ac:dyDescent="0.3">
      <c r="B25" s="10"/>
      <c r="C25" s="10"/>
      <c r="D25" s="10"/>
      <c r="E25" s="10"/>
      <c r="F25" s="10"/>
      <c r="G25" s="10"/>
      <c r="H25" s="10"/>
      <c r="I25" s="10"/>
      <c r="J25" s="10"/>
      <c r="K25" s="10"/>
      <c r="L25" s="10"/>
      <c r="M25" s="10"/>
      <c r="N25" s="10"/>
    </row>
    <row r="26" spans="2:14" x14ac:dyDescent="0.3">
      <c r="B26" s="10"/>
      <c r="C26" s="13" t="s">
        <v>2</v>
      </c>
      <c r="D26" s="14" t="s">
        <v>8</v>
      </c>
      <c r="E26" s="14" t="s">
        <v>123</v>
      </c>
      <c r="F26" s="14" t="s">
        <v>124</v>
      </c>
      <c r="G26" s="15" t="s">
        <v>125</v>
      </c>
      <c r="H26" s="10"/>
      <c r="I26" s="10"/>
      <c r="J26" s="10"/>
      <c r="K26" s="10"/>
      <c r="L26" s="10"/>
      <c r="M26" s="10"/>
      <c r="N26" s="10"/>
    </row>
    <row r="27" spans="2:14" x14ac:dyDescent="0.3">
      <c r="B27" s="10"/>
      <c r="C27" s="16" t="s">
        <v>12</v>
      </c>
      <c r="D27" s="22">
        <v>1238000</v>
      </c>
      <c r="E27" s="22">
        <v>68000</v>
      </c>
      <c r="F27" s="17" t="s">
        <v>136</v>
      </c>
      <c r="G27" s="18">
        <v>1.0581196581196581</v>
      </c>
      <c r="H27" s="10"/>
      <c r="I27" s="10"/>
      <c r="J27" s="10"/>
      <c r="K27" s="10"/>
      <c r="L27" s="10"/>
      <c r="M27" s="10"/>
      <c r="N27" s="10"/>
    </row>
    <row r="28" spans="2:14" x14ac:dyDescent="0.3">
      <c r="B28" s="10"/>
      <c r="C28" s="19" t="s">
        <v>18</v>
      </c>
      <c r="D28" s="23">
        <v>1024000</v>
      </c>
      <c r="E28" s="23">
        <v>21000</v>
      </c>
      <c r="F28" s="20" t="s">
        <v>136</v>
      </c>
      <c r="G28" s="21">
        <v>1.0209371884346958</v>
      </c>
      <c r="H28" s="10"/>
      <c r="I28" s="10"/>
      <c r="J28" s="10"/>
      <c r="K28" s="10"/>
      <c r="L28" s="10"/>
      <c r="M28" s="10"/>
      <c r="N28" s="10"/>
    </row>
    <row r="29" spans="2:14" x14ac:dyDescent="0.3">
      <c r="B29" s="10"/>
      <c r="C29" s="19" t="s">
        <v>24</v>
      </c>
      <c r="D29" s="23">
        <v>648600</v>
      </c>
      <c r="E29" s="23">
        <v>23600</v>
      </c>
      <c r="F29" s="20" t="s">
        <v>136</v>
      </c>
      <c r="G29" s="21">
        <v>1.03776</v>
      </c>
      <c r="H29" s="10"/>
      <c r="I29" s="10"/>
      <c r="J29" s="10"/>
      <c r="K29" s="10"/>
      <c r="L29" s="10"/>
      <c r="M29" s="10"/>
      <c r="N29" s="10"/>
    </row>
    <row r="30" spans="2:14" x14ac:dyDescent="0.3">
      <c r="B30" s="10"/>
      <c r="C30" s="19" t="s">
        <v>33</v>
      </c>
      <c r="D30" s="23">
        <v>895500</v>
      </c>
      <c r="E30" s="23">
        <v>40500</v>
      </c>
      <c r="F30" s="20" t="s">
        <v>136</v>
      </c>
      <c r="G30" s="21">
        <v>1.0473684210526315</v>
      </c>
      <c r="H30" s="10"/>
      <c r="I30" s="10"/>
      <c r="J30" s="10"/>
      <c r="K30" s="10"/>
      <c r="L30" s="10"/>
      <c r="M30" s="10"/>
      <c r="N30" s="10"/>
    </row>
    <row r="31" spans="2:14" x14ac:dyDescent="0.3">
      <c r="B31" s="10"/>
      <c r="C31" s="19" t="s">
        <v>46</v>
      </c>
      <c r="D31" s="23">
        <v>743000</v>
      </c>
      <c r="E31" s="23">
        <v>33000</v>
      </c>
      <c r="F31" s="20" t="s">
        <v>136</v>
      </c>
      <c r="G31" s="21">
        <v>1.0464788732394366</v>
      </c>
      <c r="H31" s="10"/>
      <c r="I31" s="10"/>
      <c r="J31" s="10"/>
      <c r="K31" s="10"/>
      <c r="L31" s="10"/>
      <c r="M31" s="10"/>
      <c r="N31" s="10"/>
    </row>
    <row r="32" spans="2:14" x14ac:dyDescent="0.3">
      <c r="B32" s="10"/>
      <c r="C32" s="19" t="s">
        <v>116</v>
      </c>
      <c r="D32" s="23">
        <v>63000</v>
      </c>
      <c r="E32" s="23">
        <v>3000</v>
      </c>
      <c r="F32" s="20" t="s">
        <v>136</v>
      </c>
      <c r="G32" s="21">
        <v>1.05</v>
      </c>
      <c r="H32" s="10"/>
      <c r="I32" s="10"/>
      <c r="J32" s="10"/>
      <c r="K32" s="10"/>
      <c r="L32" s="10"/>
      <c r="M32" s="10"/>
      <c r="N32" s="10"/>
    </row>
    <row r="33" spans="2:14" x14ac:dyDescent="0.3">
      <c r="B33" s="10"/>
      <c r="C33" s="10"/>
      <c r="D33" s="10"/>
      <c r="E33" s="10"/>
      <c r="F33" s="10"/>
      <c r="G33" s="10"/>
      <c r="H33" s="10"/>
      <c r="I33" s="10"/>
      <c r="J33" s="10"/>
      <c r="K33" s="10"/>
      <c r="L33" s="10"/>
      <c r="M33" s="10"/>
      <c r="N33" s="10"/>
    </row>
    <row r="34" spans="2:14" x14ac:dyDescent="0.3">
      <c r="B34" s="10"/>
      <c r="C34" s="10"/>
      <c r="D34" s="10"/>
      <c r="E34" s="10"/>
      <c r="F34" s="10"/>
      <c r="G34" s="10"/>
      <c r="H34" s="10"/>
      <c r="I34" s="10"/>
      <c r="J34" s="10"/>
      <c r="K34" s="10"/>
      <c r="L34" s="10"/>
      <c r="M34" s="10"/>
      <c r="N34" s="10"/>
    </row>
    <row r="35" spans="2:14" x14ac:dyDescent="0.3">
      <c r="B35" s="10"/>
      <c r="C35" s="10"/>
      <c r="D35" s="10"/>
      <c r="E35" s="10"/>
      <c r="F35" s="10"/>
      <c r="G35" s="10"/>
      <c r="H35" s="10"/>
      <c r="I35" s="10"/>
      <c r="J35" s="10"/>
      <c r="K35" s="10"/>
      <c r="L35" s="10"/>
      <c r="M35" s="10"/>
      <c r="N35" s="10"/>
    </row>
    <row r="36" spans="2:14" x14ac:dyDescent="0.3">
      <c r="B36" s="10"/>
      <c r="C36" s="10"/>
      <c r="D36" s="10"/>
      <c r="E36" s="10"/>
      <c r="F36" s="10"/>
      <c r="G36" s="10"/>
      <c r="H36" s="10"/>
      <c r="I36" s="10"/>
      <c r="J36" s="10"/>
      <c r="K36" s="10"/>
      <c r="L36" s="10"/>
      <c r="M36" s="10"/>
      <c r="N36" s="10"/>
    </row>
    <row r="37" spans="2:14" x14ac:dyDescent="0.3">
      <c r="B37" s="10"/>
      <c r="C37" s="10"/>
      <c r="D37" s="10"/>
      <c r="E37" s="10"/>
      <c r="F37" s="10"/>
      <c r="G37" s="10"/>
      <c r="H37" s="10"/>
      <c r="I37" s="10"/>
      <c r="J37" s="10"/>
      <c r="K37" s="10"/>
      <c r="L37" s="10"/>
      <c r="M37" s="10"/>
      <c r="N37" s="10"/>
    </row>
    <row r="38" spans="2:14" x14ac:dyDescent="0.3">
      <c r="B38" s="10"/>
      <c r="C38" s="10"/>
      <c r="D38" s="10"/>
      <c r="E38" s="10"/>
      <c r="F38" s="10"/>
      <c r="G38" s="10"/>
      <c r="H38" s="10"/>
      <c r="I38" s="10"/>
      <c r="J38" s="10"/>
      <c r="K38" s="10"/>
      <c r="L38" s="10"/>
      <c r="M38" s="10"/>
      <c r="N38" s="10"/>
    </row>
  </sheetData>
  <mergeCells count="8">
    <mergeCell ref="L5:M5"/>
    <mergeCell ref="L6:M6"/>
    <mergeCell ref="C5:D5"/>
    <mergeCell ref="C6:D6"/>
    <mergeCell ref="F5:G5"/>
    <mergeCell ref="F6:G6"/>
    <mergeCell ref="I5:J5"/>
    <mergeCell ref="I6:J6"/>
  </mergeCells>
  <conditionalFormatting sqref="E27:E32">
    <cfRule type="cellIs" dxfId="3" priority="1" operator="lessThan">
      <formula>0</formula>
    </cfRule>
    <cfRule type="cellIs" dxfId="2" priority="2" operator="greaterThan">
      <formula>0</formula>
    </cfRule>
  </conditionalFormatting>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DB3EA-09B7-487E-8D98-25CAD3F65B10}">
  <dimension ref="A1:L20"/>
  <sheetViews>
    <sheetView tabSelected="1" topLeftCell="D1" workbookViewId="0">
      <selection activeCell="L9" sqref="L9"/>
    </sheetView>
  </sheetViews>
  <sheetFormatPr defaultRowHeight="14.4" x14ac:dyDescent="0.3"/>
  <cols>
    <col min="1" max="9" width="14.77734375" customWidth="1"/>
    <col min="10" max="10" width="16.21875" customWidth="1"/>
    <col min="11" max="23" width="14.77734375" customWidth="1"/>
  </cols>
  <sheetData>
    <row r="1" spans="1:12" x14ac:dyDescent="0.3">
      <c r="A1" s="24" t="s">
        <v>120</v>
      </c>
      <c r="B1" s="25" t="s">
        <v>8</v>
      </c>
      <c r="D1" t="s">
        <v>117</v>
      </c>
      <c r="E1" t="s">
        <v>13</v>
      </c>
      <c r="F1" t="s">
        <v>38</v>
      </c>
      <c r="G1" t="s">
        <v>25</v>
      </c>
      <c r="H1" t="s">
        <v>47</v>
      </c>
      <c r="I1" t="s">
        <v>121</v>
      </c>
      <c r="J1" t="s">
        <v>122</v>
      </c>
    </row>
    <row r="2" spans="1:12" x14ac:dyDescent="0.3">
      <c r="A2" s="26" t="s">
        <v>13</v>
      </c>
      <c r="B2" s="27">
        <f>SUMIF(SalesData[Region],A2,SalesData[Total Revenue])</f>
        <v>1301000</v>
      </c>
      <c r="D2">
        <v>1</v>
      </c>
      <c r="E2">
        <f>SUMIFS(SalesData[Total Revenue],SalesData[Month],D2,SalesData[Region],E$1)</f>
        <v>153000</v>
      </c>
      <c r="F2">
        <f>SUMIFS(SalesData[Total Revenue],SalesData[Month],D2,SalesData[Region],F$1)</f>
        <v>153000</v>
      </c>
      <c r="G2">
        <f>SUMIFS(SalesData[Total Revenue],SalesData[Month],D2,SalesData[Region],G$1)</f>
        <v>90000</v>
      </c>
      <c r="H2">
        <f>SUMIFS(SalesData[Total Revenue],SalesData[Month],D2,SalesData[Region],H$1)</f>
        <v>110000</v>
      </c>
      <c r="I2">
        <f>SUM(E2:H2)</f>
        <v>506000</v>
      </c>
      <c r="J2" s="6">
        <f>(I3-I2)/I2</f>
        <v>0.16600790513833993</v>
      </c>
    </row>
    <row r="3" spans="1:12" x14ac:dyDescent="0.3">
      <c r="A3" s="26" t="s">
        <v>38</v>
      </c>
      <c r="B3" s="27">
        <f>SUMIF(SalesData[Region],A3,SalesData[Total Revenue])</f>
        <v>1024000</v>
      </c>
      <c r="D3">
        <v>2</v>
      </c>
      <c r="E3">
        <f>SUMIFS(SalesData[Total Revenue],SalesData[Month],D3,SalesData[Region],E$1)</f>
        <v>225000</v>
      </c>
      <c r="F3">
        <f>SUMIFS(SalesData[Total Revenue],SalesData[Month],D3,SalesData[Region],F$1)</f>
        <v>30000</v>
      </c>
      <c r="G3">
        <f>SUMIFS(SalesData[Total Revenue],SalesData[Month],D3,SalesData[Region],G$1)</f>
        <v>130000</v>
      </c>
      <c r="H3">
        <f>SUMIFS(SalesData[Total Revenue],SalesData[Month],D3,SalesData[Region],H$1)</f>
        <v>205000</v>
      </c>
      <c r="I3">
        <f t="shared" ref="I3:I8" si="0">SUM(E3:H3)</f>
        <v>590000</v>
      </c>
      <c r="J3" s="6">
        <f t="shared" ref="J3:J8" si="1">(I4-I3)/I3</f>
        <v>0.27033898305084747</v>
      </c>
    </row>
    <row r="4" spans="1:12" x14ac:dyDescent="0.3">
      <c r="A4" s="26" t="s">
        <v>25</v>
      </c>
      <c r="B4" s="27">
        <f>SUMIF(SalesData[Region],A4,SalesData[Total Revenue])</f>
        <v>648600</v>
      </c>
      <c r="D4">
        <v>3</v>
      </c>
      <c r="E4">
        <f>SUMIFS(SalesData[Total Revenue],SalesData[Month],D4,SalesData[Region],E$1)</f>
        <v>237000</v>
      </c>
      <c r="F4">
        <f>SUMIFS(SalesData[Total Revenue],SalesData[Month],D4,SalesData[Region],F$1)</f>
        <v>154000</v>
      </c>
      <c r="G4">
        <f>SUMIFS(SalesData[Total Revenue],SalesData[Month],D4,SalesData[Region],G$1)</f>
        <v>51000</v>
      </c>
      <c r="H4">
        <f>SUMIFS(SalesData[Total Revenue],SalesData[Month],D4,SalesData[Region],H$1)</f>
        <v>307500</v>
      </c>
      <c r="I4">
        <f t="shared" si="0"/>
        <v>749500</v>
      </c>
      <c r="J4" s="6">
        <f t="shared" si="1"/>
        <v>-0.1827885256837892</v>
      </c>
    </row>
    <row r="5" spans="1:12" x14ac:dyDescent="0.3">
      <c r="A5" s="28" t="s">
        <v>47</v>
      </c>
      <c r="B5" s="29">
        <f>SUMIF(SalesData[Region],A5,SalesData[Total Revenue])</f>
        <v>1638500</v>
      </c>
      <c r="D5">
        <v>4</v>
      </c>
      <c r="E5">
        <f>SUMIFS(SalesData[Total Revenue],SalesData[Month],D5,SalesData[Region],E$1)</f>
        <v>139500</v>
      </c>
      <c r="F5">
        <f>SUMIFS(SalesData[Total Revenue],SalesData[Month],D5,SalesData[Region],F$1)</f>
        <v>228000</v>
      </c>
      <c r="G5">
        <f>SUMIFS(SalesData[Total Revenue],SalesData[Month],D5,SalesData[Region],G$1)</f>
        <v>135000</v>
      </c>
      <c r="H5">
        <f>SUMIFS(SalesData[Total Revenue],SalesData[Month],D5,SalesData[Region],H$1)</f>
        <v>110000</v>
      </c>
      <c r="I5">
        <f t="shared" si="0"/>
        <v>612500</v>
      </c>
      <c r="J5" s="6">
        <f t="shared" si="1"/>
        <v>0.41224489795918368</v>
      </c>
    </row>
    <row r="6" spans="1:12" x14ac:dyDescent="0.3">
      <c r="D6">
        <v>5</v>
      </c>
      <c r="E6">
        <f>SUMIFS(SalesData[Total Revenue],SalesData[Month],D6,SalesData[Region],E$1)</f>
        <v>270000</v>
      </c>
      <c r="F6">
        <f>SUMIFS(SalesData[Total Revenue],SalesData[Month],D6,SalesData[Region],F$1)</f>
        <v>198000</v>
      </c>
      <c r="G6">
        <f>SUMIFS(SalesData[Total Revenue],SalesData[Month],D6,SalesData[Region],G$1)</f>
        <v>77000</v>
      </c>
      <c r="H6">
        <f>SUMIFS(SalesData[Total Revenue],SalesData[Month],D6,SalesData[Region],H$1)</f>
        <v>320000</v>
      </c>
      <c r="I6">
        <f t="shared" si="0"/>
        <v>865000</v>
      </c>
      <c r="J6" s="6">
        <f t="shared" si="1"/>
        <v>-0.16173410404624278</v>
      </c>
    </row>
    <row r="7" spans="1:12" x14ac:dyDescent="0.3">
      <c r="D7">
        <v>6</v>
      </c>
      <c r="E7">
        <f>SUMIFS(SalesData[Total Revenue],SalesData[Month],D7,SalesData[Region],E$1)</f>
        <v>154000</v>
      </c>
      <c r="F7">
        <f>SUMIFS(SalesData[Total Revenue],SalesData[Month],D7,SalesData[Region],F$1)</f>
        <v>225000</v>
      </c>
      <c r="G7">
        <f>SUMIFS(SalesData[Total Revenue],SalesData[Month],D7,SalesData[Region],G$1)</f>
        <v>33600</v>
      </c>
      <c r="H7">
        <f>SUMIFS(SalesData[Total Revenue],SalesData[Month],D7,SalesData[Region],H$1)</f>
        <v>312500</v>
      </c>
      <c r="I7">
        <f t="shared" si="0"/>
        <v>725100</v>
      </c>
      <c r="J7" s="6">
        <f t="shared" si="1"/>
        <v>-0.22217625155151013</v>
      </c>
    </row>
    <row r="8" spans="1:12" x14ac:dyDescent="0.3">
      <c r="D8">
        <v>7</v>
      </c>
      <c r="E8">
        <f>SUMIFS(SalesData[Total Revenue],SalesData[Month],D8,SalesData[Region],E$1)</f>
        <v>122500</v>
      </c>
      <c r="F8">
        <f>SUMIFS(SalesData[Total Revenue],SalesData[Month],D8,SalesData[Region],F$1)</f>
        <v>36000</v>
      </c>
      <c r="G8">
        <f>SUMIFS(SalesData[Total Revenue],SalesData[Month],D8,SalesData[Region],G$1)</f>
        <v>132000</v>
      </c>
      <c r="H8">
        <f>SUMIFS(SalesData[Total Revenue],SalesData[Month],D8,SalesData[Region],H$1)</f>
        <v>273500</v>
      </c>
      <c r="I8">
        <f t="shared" si="0"/>
        <v>564000</v>
      </c>
      <c r="J8" s="6">
        <f t="shared" si="1"/>
        <v>-1</v>
      </c>
      <c r="L8" t="s">
        <v>137</v>
      </c>
    </row>
    <row r="10" spans="1:12" x14ac:dyDescent="0.3">
      <c r="L10" s="12"/>
    </row>
    <row r="11" spans="1:12" x14ac:dyDescent="0.3">
      <c r="A11" s="24" t="s">
        <v>2</v>
      </c>
      <c r="B11" s="30" t="s">
        <v>8</v>
      </c>
      <c r="C11" s="30" t="s">
        <v>123</v>
      </c>
      <c r="D11" s="30" t="s">
        <v>124</v>
      </c>
      <c r="E11" s="25" t="s">
        <v>125</v>
      </c>
      <c r="L11" s="12"/>
    </row>
    <row r="12" spans="1:12" x14ac:dyDescent="0.3">
      <c r="A12" s="26" t="s">
        <v>12</v>
      </c>
      <c r="B12">
        <f>SUMIF(SalesData[Sales Rep],A12,SalesData[Total Revenue])</f>
        <v>1238000</v>
      </c>
      <c r="C12">
        <f>SUMIF(SalesData[Sales Rep],A12,SalesData[Total Revenue])-SUMIF(SalesData[Sales Rep],A12,SalesData[Target])</f>
        <v>68000</v>
      </c>
      <c r="D12" t="str">
        <f>IF(C12&gt;=0,"On Target","Below Target")</f>
        <v>On Target</v>
      </c>
      <c r="E12" s="31">
        <f>B12/(B12-C12)</f>
        <v>1.0581196581196581</v>
      </c>
    </row>
    <row r="13" spans="1:12" x14ac:dyDescent="0.3">
      <c r="A13" s="26" t="s">
        <v>18</v>
      </c>
      <c r="B13">
        <f>SUMIF(SalesData[Sales Rep],A13,SalesData[Total Revenue])</f>
        <v>1024000</v>
      </c>
      <c r="C13">
        <f>SUMIF(SalesData[Sales Rep],A13,SalesData[Total Revenue])-SUMIF(SalesData[Sales Rep],A13,SalesData[Target])</f>
        <v>21000</v>
      </c>
      <c r="D13" t="str">
        <f t="shared" ref="D13:D17" si="2">IF(C13&gt;=0,"On Target","Below Target")</f>
        <v>On Target</v>
      </c>
      <c r="E13" s="31">
        <f t="shared" ref="E13:E17" si="3">B13/(B13-C13)</f>
        <v>1.0209371884346958</v>
      </c>
    </row>
    <row r="14" spans="1:12" x14ac:dyDescent="0.3">
      <c r="A14" s="26" t="s">
        <v>24</v>
      </c>
      <c r="B14">
        <f>SUMIF(SalesData[Sales Rep],A14,SalesData[Total Revenue])</f>
        <v>648600</v>
      </c>
      <c r="C14">
        <f>SUMIF(SalesData[Sales Rep],A14,SalesData[Total Revenue])-SUMIF(SalesData[Sales Rep],A14,SalesData[Target])</f>
        <v>23600</v>
      </c>
      <c r="D14" t="str">
        <f t="shared" si="2"/>
        <v>On Target</v>
      </c>
      <c r="E14" s="31">
        <f t="shared" si="3"/>
        <v>1.03776</v>
      </c>
    </row>
    <row r="15" spans="1:12" x14ac:dyDescent="0.3">
      <c r="A15" s="26" t="s">
        <v>33</v>
      </c>
      <c r="B15">
        <f>SUMIF(SalesData[Sales Rep],A15,SalesData[Total Revenue])</f>
        <v>895500</v>
      </c>
      <c r="C15">
        <f>SUMIF(SalesData[Sales Rep],A15,SalesData[Total Revenue])-SUMIF(SalesData[Sales Rep],A15,SalesData[Target])</f>
        <v>40500</v>
      </c>
      <c r="D15" t="str">
        <f t="shared" si="2"/>
        <v>On Target</v>
      </c>
      <c r="E15" s="31">
        <f t="shared" si="3"/>
        <v>1.0473684210526315</v>
      </c>
    </row>
    <row r="16" spans="1:12" x14ac:dyDescent="0.3">
      <c r="A16" s="26" t="s">
        <v>46</v>
      </c>
      <c r="B16">
        <f>SUMIF(SalesData[Sales Rep],A16,SalesData[Total Revenue])</f>
        <v>743000</v>
      </c>
      <c r="C16">
        <f>SUMIF(SalesData[Sales Rep],A16,SalesData[Total Revenue])-SUMIF(SalesData[Sales Rep],A16,SalesData[Target])</f>
        <v>33000</v>
      </c>
      <c r="D16" t="str">
        <f t="shared" si="2"/>
        <v>On Target</v>
      </c>
      <c r="E16" s="31">
        <f t="shared" si="3"/>
        <v>1.0464788732394366</v>
      </c>
    </row>
    <row r="17" spans="1:5" x14ac:dyDescent="0.3">
      <c r="A17" s="28" t="s">
        <v>116</v>
      </c>
      <c r="B17" s="32">
        <f>SUMIF(SalesData[Sales Rep],A17,SalesData[Total Revenue])</f>
        <v>63000</v>
      </c>
      <c r="C17" s="32">
        <f>SUMIF(SalesData[Sales Rep],A17,SalesData[Total Revenue])-SUMIF(SalesData[Sales Rep],A17,SalesData[Target])</f>
        <v>3000</v>
      </c>
      <c r="D17" s="32" t="str">
        <f t="shared" si="2"/>
        <v>On Target</v>
      </c>
      <c r="E17" s="33">
        <f t="shared" si="3"/>
        <v>1.05</v>
      </c>
    </row>
    <row r="20" spans="1:5" x14ac:dyDescent="0.3">
      <c r="A20" t="s">
        <v>33</v>
      </c>
      <c r="B20">
        <f>_xlfn.XLOOKUP(A20,A12:A17,B12:B17,"Not Found")</f>
        <v>895500</v>
      </c>
    </row>
  </sheetData>
  <conditionalFormatting sqref="C12:C17">
    <cfRule type="cellIs" dxfId="1" priority="1" operator="lessThan">
      <formula>0</formula>
    </cfRule>
    <cfRule type="cellIs" dxfId="0" priority="2" operator="greaterThan">
      <formula>0</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
  <sheetViews>
    <sheetView workbookViewId="0">
      <selection activeCell="L17" sqref="L17"/>
    </sheetView>
  </sheetViews>
  <sheetFormatPr defaultRowHeight="14.4" x14ac:dyDescent="0.3"/>
  <cols>
    <col min="1" max="1" width="10" customWidth="1"/>
    <col min="2" max="2" width="18" customWidth="1"/>
    <col min="3" max="3" width="16" customWidth="1"/>
    <col min="4" max="4" width="10" customWidth="1"/>
    <col min="5" max="6" width="14" customWidth="1"/>
    <col min="7" max="8" width="11" customWidth="1"/>
    <col min="9" max="9" width="14" customWidth="1"/>
    <col min="10" max="10" width="12"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10</v>
      </c>
      <c r="B2" s="2" t="s">
        <v>11</v>
      </c>
      <c r="C2" s="2" t="s">
        <v>12</v>
      </c>
      <c r="D2" s="2" t="s">
        <v>13</v>
      </c>
      <c r="E2" s="2" t="s">
        <v>14</v>
      </c>
      <c r="F2" s="2" t="s">
        <v>15</v>
      </c>
      <c r="G2" s="2">
        <v>3</v>
      </c>
      <c r="H2" s="2">
        <v>45000</v>
      </c>
      <c r="I2" s="2">
        <v>135000</v>
      </c>
      <c r="J2" s="2">
        <v>120000</v>
      </c>
    </row>
    <row r="3" spans="1:10" x14ac:dyDescent="0.3">
      <c r="A3" s="3" t="s">
        <v>16</v>
      </c>
      <c r="B3" s="3" t="s">
        <v>17</v>
      </c>
      <c r="C3" s="3" t="s">
        <v>18</v>
      </c>
      <c r="D3" s="3" t="s">
        <v>19</v>
      </c>
      <c r="E3" s="3" t="s">
        <v>20</v>
      </c>
      <c r="F3" s="3" t="s">
        <v>21</v>
      </c>
      <c r="G3" s="3">
        <v>10</v>
      </c>
      <c r="H3" s="3">
        <v>8500</v>
      </c>
      <c r="I3" s="3">
        <v>85000</v>
      </c>
      <c r="J3" s="3">
        <v>90000</v>
      </c>
    </row>
    <row r="4" spans="1:10" x14ac:dyDescent="0.3">
      <c r="A4" s="2" t="s">
        <v>22</v>
      </c>
      <c r="B4" s="2" t="s">
        <v>23</v>
      </c>
      <c r="C4" s="2" t="s">
        <v>24</v>
      </c>
      <c r="D4" s="2" t="s">
        <v>25</v>
      </c>
      <c r="E4" s="2" t="s">
        <v>14</v>
      </c>
      <c r="F4" s="2" t="s">
        <v>15</v>
      </c>
      <c r="G4" s="2">
        <v>2</v>
      </c>
      <c r="H4" s="2">
        <v>45000</v>
      </c>
      <c r="I4" s="2">
        <v>90000</v>
      </c>
      <c r="J4" s="2">
        <v>80000</v>
      </c>
    </row>
    <row r="5" spans="1:10" x14ac:dyDescent="0.3">
      <c r="A5" s="3" t="s">
        <v>26</v>
      </c>
      <c r="B5" s="3" t="s">
        <v>27</v>
      </c>
      <c r="C5" s="3" t="s">
        <v>28</v>
      </c>
      <c r="D5" s="3" t="s">
        <v>13</v>
      </c>
      <c r="E5" s="3" t="s">
        <v>29</v>
      </c>
      <c r="F5" s="3" t="s">
        <v>30</v>
      </c>
      <c r="G5" s="3">
        <v>15</v>
      </c>
      <c r="H5" s="3">
        <v>1200</v>
      </c>
      <c r="I5" s="3">
        <v>18000</v>
      </c>
      <c r="J5" s="3">
        <v>20000</v>
      </c>
    </row>
    <row r="6" spans="1:10" x14ac:dyDescent="0.3">
      <c r="A6" s="2" t="s">
        <v>31</v>
      </c>
      <c r="B6" s="2" t="s">
        <v>32</v>
      </c>
      <c r="C6" s="2" t="s">
        <v>33</v>
      </c>
      <c r="D6" s="2" t="s">
        <v>34</v>
      </c>
      <c r="E6" s="2" t="s">
        <v>35</v>
      </c>
      <c r="F6" s="2" t="s">
        <v>15</v>
      </c>
      <c r="G6" s="2">
        <v>5</v>
      </c>
      <c r="H6" s="2">
        <v>22000</v>
      </c>
      <c r="I6" s="2">
        <v>110000</v>
      </c>
      <c r="J6" s="2">
        <v>100000</v>
      </c>
    </row>
    <row r="7" spans="1:10" x14ac:dyDescent="0.3">
      <c r="A7" s="3" t="s">
        <v>36</v>
      </c>
      <c r="B7" s="3" t="s">
        <v>37</v>
      </c>
      <c r="C7" s="3" t="s">
        <v>18</v>
      </c>
      <c r="D7" s="3" t="s">
        <v>38</v>
      </c>
      <c r="E7" s="3" t="s">
        <v>20</v>
      </c>
      <c r="F7" s="3" t="s">
        <v>21</v>
      </c>
      <c r="G7" s="3">
        <v>8</v>
      </c>
      <c r="H7" s="3">
        <v>8500</v>
      </c>
      <c r="I7" s="3">
        <v>68000</v>
      </c>
      <c r="J7" s="3">
        <v>70000</v>
      </c>
    </row>
    <row r="8" spans="1:10" x14ac:dyDescent="0.3">
      <c r="A8" s="2" t="s">
        <v>39</v>
      </c>
      <c r="B8" s="2" t="s">
        <v>40</v>
      </c>
      <c r="C8" s="2" t="s">
        <v>24</v>
      </c>
      <c r="D8" s="2" t="s">
        <v>41</v>
      </c>
      <c r="E8" s="2" t="s">
        <v>35</v>
      </c>
      <c r="F8" s="2" t="s">
        <v>15</v>
      </c>
      <c r="G8" s="2">
        <v>4</v>
      </c>
      <c r="H8" s="2">
        <v>22000</v>
      </c>
      <c r="I8" s="2">
        <v>88000</v>
      </c>
      <c r="J8" s="2">
        <v>85000</v>
      </c>
    </row>
    <row r="9" spans="1:10" x14ac:dyDescent="0.3">
      <c r="A9" s="3" t="s">
        <v>42</v>
      </c>
      <c r="B9" s="3" t="s">
        <v>43</v>
      </c>
      <c r="C9" s="3" t="s">
        <v>12</v>
      </c>
      <c r="D9" s="3" t="s">
        <v>13</v>
      </c>
      <c r="E9" s="3" t="s">
        <v>14</v>
      </c>
      <c r="F9" s="3" t="s">
        <v>15</v>
      </c>
      <c r="G9" s="3">
        <v>5</v>
      </c>
      <c r="H9" s="3">
        <v>45000</v>
      </c>
      <c r="I9" s="3">
        <v>225000</v>
      </c>
      <c r="J9" s="3">
        <v>200000</v>
      </c>
    </row>
    <row r="10" spans="1:10" x14ac:dyDescent="0.3">
      <c r="A10" s="2" t="s">
        <v>44</v>
      </c>
      <c r="B10" s="2" t="s">
        <v>45</v>
      </c>
      <c r="C10" s="2" t="s">
        <v>46</v>
      </c>
      <c r="D10" s="2" t="s">
        <v>47</v>
      </c>
      <c r="E10" s="2" t="s">
        <v>48</v>
      </c>
      <c r="F10" s="2" t="s">
        <v>30</v>
      </c>
      <c r="G10" s="2">
        <v>20</v>
      </c>
      <c r="H10" s="2">
        <v>3500</v>
      </c>
      <c r="I10" s="2">
        <v>70000</v>
      </c>
      <c r="J10" s="2">
        <v>65000</v>
      </c>
    </row>
    <row r="11" spans="1:10" x14ac:dyDescent="0.3">
      <c r="A11" s="3" t="s">
        <v>49</v>
      </c>
      <c r="B11" s="3" t="s">
        <v>50</v>
      </c>
      <c r="C11" s="3" t="s">
        <v>33</v>
      </c>
      <c r="D11" s="3" t="s">
        <v>47</v>
      </c>
      <c r="E11" s="3" t="s">
        <v>14</v>
      </c>
      <c r="F11" s="3" t="s">
        <v>51</v>
      </c>
      <c r="G11" s="3">
        <v>3</v>
      </c>
      <c r="H11" s="3">
        <v>45000</v>
      </c>
      <c r="I11" s="3">
        <v>135000</v>
      </c>
      <c r="J11" s="3">
        <v>130000</v>
      </c>
    </row>
    <row r="12" spans="1:10" x14ac:dyDescent="0.3">
      <c r="A12" s="2" t="s">
        <v>52</v>
      </c>
      <c r="B12" s="2" t="s">
        <v>53</v>
      </c>
      <c r="C12" s="2" t="s">
        <v>18</v>
      </c>
      <c r="D12" s="2" t="s">
        <v>38</v>
      </c>
      <c r="E12" s="2" t="s">
        <v>29</v>
      </c>
      <c r="F12" s="2" t="s">
        <v>30</v>
      </c>
      <c r="G12" s="2">
        <v>25</v>
      </c>
      <c r="H12" s="2">
        <v>1200</v>
      </c>
      <c r="I12" s="2">
        <v>30000</v>
      </c>
      <c r="J12" s="2">
        <v>28000</v>
      </c>
    </row>
    <row r="13" spans="1:10" x14ac:dyDescent="0.3">
      <c r="A13" s="3" t="s">
        <v>54</v>
      </c>
      <c r="B13" s="3" t="s">
        <v>55</v>
      </c>
      <c r="C13" s="3" t="s">
        <v>24</v>
      </c>
      <c r="D13" s="3" t="s">
        <v>25</v>
      </c>
      <c r="E13" s="3" t="s">
        <v>48</v>
      </c>
      <c r="F13" s="3" t="s">
        <v>30</v>
      </c>
      <c r="G13" s="3">
        <v>12</v>
      </c>
      <c r="H13" s="3">
        <v>3500</v>
      </c>
      <c r="I13" s="3">
        <v>42000</v>
      </c>
      <c r="J13" s="3">
        <v>40000</v>
      </c>
    </row>
    <row r="14" spans="1:10" x14ac:dyDescent="0.3">
      <c r="A14" s="2" t="s">
        <v>56</v>
      </c>
      <c r="B14" s="2" t="s">
        <v>57</v>
      </c>
      <c r="C14" s="2" t="s">
        <v>12</v>
      </c>
      <c r="D14" s="2" t="s">
        <v>58</v>
      </c>
      <c r="E14" s="2" t="s">
        <v>35</v>
      </c>
      <c r="F14" s="2" t="s">
        <v>15</v>
      </c>
      <c r="G14" s="2">
        <v>6</v>
      </c>
      <c r="H14" s="2">
        <v>22000</v>
      </c>
      <c r="I14" s="2">
        <v>132000</v>
      </c>
      <c r="J14" s="2">
        <v>125000</v>
      </c>
    </row>
    <row r="15" spans="1:10" x14ac:dyDescent="0.3">
      <c r="A15" s="3" t="s">
        <v>59</v>
      </c>
      <c r="B15" s="3" t="s">
        <v>60</v>
      </c>
      <c r="C15" s="3" t="s">
        <v>46</v>
      </c>
      <c r="D15" s="3" t="s">
        <v>47</v>
      </c>
      <c r="E15" s="3" t="s">
        <v>20</v>
      </c>
      <c r="F15" s="3" t="s">
        <v>21</v>
      </c>
      <c r="G15" s="3">
        <v>15</v>
      </c>
      <c r="H15" s="3">
        <v>8500</v>
      </c>
      <c r="I15" s="3">
        <v>127500</v>
      </c>
      <c r="J15" s="3">
        <v>120000</v>
      </c>
    </row>
    <row r="16" spans="1:10" x14ac:dyDescent="0.3">
      <c r="A16" s="2" t="s">
        <v>61</v>
      </c>
      <c r="B16" s="2" t="s">
        <v>62</v>
      </c>
      <c r="C16" s="2" t="s">
        <v>63</v>
      </c>
      <c r="D16" s="2" t="s">
        <v>47</v>
      </c>
      <c r="E16" s="2" t="s">
        <v>14</v>
      </c>
      <c r="F16" s="2" t="s">
        <v>15</v>
      </c>
      <c r="G16" s="2">
        <v>4</v>
      </c>
      <c r="H16" s="2">
        <v>45000</v>
      </c>
      <c r="I16" s="2">
        <v>180000</v>
      </c>
      <c r="J16" s="2">
        <v>170000</v>
      </c>
    </row>
    <row r="17" spans="1:10" x14ac:dyDescent="0.3">
      <c r="A17" s="3" t="s">
        <v>64</v>
      </c>
      <c r="B17" s="3" t="s">
        <v>65</v>
      </c>
      <c r="C17" s="3" t="s">
        <v>18</v>
      </c>
      <c r="D17" s="3" t="s">
        <v>38</v>
      </c>
      <c r="E17" s="3" t="s">
        <v>35</v>
      </c>
      <c r="F17" s="3" t="s">
        <v>15</v>
      </c>
      <c r="G17" s="3">
        <v>7</v>
      </c>
      <c r="H17" s="3">
        <v>22000</v>
      </c>
      <c r="I17" s="3">
        <v>154000</v>
      </c>
      <c r="J17" s="3">
        <v>150000</v>
      </c>
    </row>
    <row r="18" spans="1:10" x14ac:dyDescent="0.3">
      <c r="A18" s="2" t="s">
        <v>66</v>
      </c>
      <c r="B18" s="2" t="s">
        <v>67</v>
      </c>
      <c r="C18" s="2" t="s">
        <v>24</v>
      </c>
      <c r="D18" s="2" t="s">
        <v>25</v>
      </c>
      <c r="E18" s="2" t="s">
        <v>20</v>
      </c>
      <c r="F18" s="2" t="s">
        <v>21</v>
      </c>
      <c r="G18" s="2">
        <v>6</v>
      </c>
      <c r="H18" s="2">
        <v>8500</v>
      </c>
      <c r="I18" s="2">
        <v>51000</v>
      </c>
      <c r="J18" s="2">
        <v>55000</v>
      </c>
    </row>
    <row r="19" spans="1:10" x14ac:dyDescent="0.3">
      <c r="A19" s="3" t="s">
        <v>68</v>
      </c>
      <c r="B19" s="3" t="s">
        <v>69</v>
      </c>
      <c r="C19" s="3" t="s">
        <v>12</v>
      </c>
      <c r="D19" s="3" t="s">
        <v>13</v>
      </c>
      <c r="E19" s="3" t="s">
        <v>48</v>
      </c>
      <c r="F19" s="3" t="s">
        <v>30</v>
      </c>
      <c r="G19" s="3">
        <v>30</v>
      </c>
      <c r="H19" s="3">
        <v>3500</v>
      </c>
      <c r="I19" s="3">
        <v>105000</v>
      </c>
      <c r="J19" s="3">
        <v>100000</v>
      </c>
    </row>
    <row r="20" spans="1:10" x14ac:dyDescent="0.3">
      <c r="A20" s="2" t="s">
        <v>16</v>
      </c>
      <c r="B20" s="2" t="s">
        <v>17</v>
      </c>
      <c r="C20" s="2" t="s">
        <v>18</v>
      </c>
      <c r="D20" s="2" t="s">
        <v>19</v>
      </c>
      <c r="E20" s="2" t="s">
        <v>20</v>
      </c>
      <c r="F20" s="2" t="s">
        <v>21</v>
      </c>
      <c r="G20" s="2">
        <v>10</v>
      </c>
      <c r="H20" s="2">
        <v>8500</v>
      </c>
      <c r="I20" s="2">
        <v>85000</v>
      </c>
      <c r="J20" s="2">
        <v>90000</v>
      </c>
    </row>
    <row r="21" spans="1:10" x14ac:dyDescent="0.3">
      <c r="A21" s="3" t="s">
        <v>70</v>
      </c>
      <c r="B21" s="3" t="s">
        <v>71</v>
      </c>
      <c r="C21" s="3" t="s">
        <v>46</v>
      </c>
      <c r="D21" s="3" t="s">
        <v>47</v>
      </c>
      <c r="E21" s="3" t="s">
        <v>29</v>
      </c>
      <c r="F21" s="3" t="s">
        <v>30</v>
      </c>
      <c r="G21" s="3">
        <v>40</v>
      </c>
      <c r="H21" s="3">
        <v>1200</v>
      </c>
      <c r="I21" s="3">
        <v>48000</v>
      </c>
      <c r="J21" s="3">
        <v>45000</v>
      </c>
    </row>
    <row r="22" spans="1:10" x14ac:dyDescent="0.3">
      <c r="A22" s="2" t="s">
        <v>72</v>
      </c>
      <c r="B22" s="2" t="s">
        <v>73</v>
      </c>
      <c r="C22" s="2" t="s">
        <v>33</v>
      </c>
      <c r="D22" s="2" t="s">
        <v>47</v>
      </c>
      <c r="E22" s="2" t="s">
        <v>35</v>
      </c>
      <c r="F22" s="2" t="s">
        <v>15</v>
      </c>
      <c r="G22" s="2">
        <v>5</v>
      </c>
      <c r="H22" s="2">
        <v>22000</v>
      </c>
      <c r="I22" s="2">
        <v>110000</v>
      </c>
      <c r="J22" s="2">
        <v>105000</v>
      </c>
    </row>
    <row r="23" spans="1:10" x14ac:dyDescent="0.3">
      <c r="A23" s="3" t="s">
        <v>74</v>
      </c>
      <c r="B23" s="3" t="s">
        <v>75</v>
      </c>
      <c r="C23" s="3" t="s">
        <v>24</v>
      </c>
      <c r="D23" s="3" t="s">
        <v>25</v>
      </c>
      <c r="E23" s="3" t="s">
        <v>14</v>
      </c>
      <c r="F23" s="3" t="s">
        <v>15</v>
      </c>
      <c r="G23" s="3">
        <v>3</v>
      </c>
      <c r="H23" s="3">
        <v>45000</v>
      </c>
      <c r="I23" s="3">
        <v>135000</v>
      </c>
      <c r="J23" s="3">
        <v>130000</v>
      </c>
    </row>
    <row r="24" spans="1:10" x14ac:dyDescent="0.3">
      <c r="A24" s="2" t="s">
        <v>76</v>
      </c>
      <c r="B24" s="2" t="s">
        <v>77</v>
      </c>
      <c r="C24" s="2"/>
      <c r="D24" s="2" t="s">
        <v>13</v>
      </c>
      <c r="E24" s="2" t="s">
        <v>48</v>
      </c>
      <c r="F24" s="2" t="s">
        <v>30</v>
      </c>
      <c r="G24" s="2">
        <v>18</v>
      </c>
      <c r="H24" s="2">
        <v>3500</v>
      </c>
      <c r="I24" s="2">
        <v>63000</v>
      </c>
      <c r="J24" s="2">
        <v>60000</v>
      </c>
    </row>
    <row r="25" spans="1:10" x14ac:dyDescent="0.3">
      <c r="A25" s="3" t="s">
        <v>78</v>
      </c>
      <c r="B25" s="3" t="s">
        <v>79</v>
      </c>
      <c r="C25" s="3" t="s">
        <v>18</v>
      </c>
      <c r="D25" s="3" t="s">
        <v>19</v>
      </c>
      <c r="E25" s="3" t="s">
        <v>14</v>
      </c>
      <c r="F25" s="3" t="s">
        <v>15</v>
      </c>
      <c r="G25" s="3">
        <v>4</v>
      </c>
      <c r="H25" s="3">
        <v>45000</v>
      </c>
      <c r="I25" s="3">
        <v>180000</v>
      </c>
      <c r="J25" s="3">
        <v>175000</v>
      </c>
    </row>
    <row r="26" spans="1:10" x14ac:dyDescent="0.3">
      <c r="A26" s="2" t="s">
        <v>80</v>
      </c>
      <c r="B26" s="2" t="s">
        <v>81</v>
      </c>
      <c r="C26" s="2" t="s">
        <v>12</v>
      </c>
      <c r="D26" s="2" t="s">
        <v>13</v>
      </c>
      <c r="E26" s="2" t="s">
        <v>20</v>
      </c>
      <c r="F26" s="2" t="s">
        <v>82</v>
      </c>
      <c r="G26" s="2">
        <v>9</v>
      </c>
      <c r="H26" s="2">
        <v>8500</v>
      </c>
      <c r="I26" s="2">
        <v>76500</v>
      </c>
      <c r="J26" s="2">
        <v>75000</v>
      </c>
    </row>
    <row r="27" spans="1:10" x14ac:dyDescent="0.3">
      <c r="A27" s="3" t="s">
        <v>83</v>
      </c>
      <c r="B27" s="3" t="s">
        <v>84</v>
      </c>
      <c r="C27" s="3" t="s">
        <v>46</v>
      </c>
      <c r="D27" s="3" t="s">
        <v>47</v>
      </c>
      <c r="E27" s="3" t="s">
        <v>35</v>
      </c>
      <c r="F27" s="3" t="s">
        <v>15</v>
      </c>
      <c r="G27" s="3">
        <v>8</v>
      </c>
      <c r="H27" s="3">
        <v>22000</v>
      </c>
      <c r="I27" s="3">
        <v>176000</v>
      </c>
      <c r="J27" s="3">
        <v>165000</v>
      </c>
    </row>
    <row r="28" spans="1:10" x14ac:dyDescent="0.3">
      <c r="A28" s="2" t="s">
        <v>85</v>
      </c>
      <c r="B28" s="2" t="s">
        <v>86</v>
      </c>
      <c r="C28" s="2" t="s">
        <v>33</v>
      </c>
      <c r="D28" s="2" t="s">
        <v>87</v>
      </c>
      <c r="E28" s="2" t="s">
        <v>29</v>
      </c>
      <c r="F28" s="2" t="s">
        <v>30</v>
      </c>
      <c r="G28" s="2">
        <v>35</v>
      </c>
      <c r="H28" s="2">
        <v>1200</v>
      </c>
      <c r="I28" s="2">
        <v>42000</v>
      </c>
      <c r="J28" s="2">
        <v>40000</v>
      </c>
    </row>
    <row r="29" spans="1:10" x14ac:dyDescent="0.3">
      <c r="A29" s="3" t="s">
        <v>88</v>
      </c>
      <c r="B29" s="3" t="s">
        <v>89</v>
      </c>
      <c r="C29" s="3" t="s">
        <v>24</v>
      </c>
      <c r="D29" s="3" t="s">
        <v>25</v>
      </c>
      <c r="E29" s="3" t="s">
        <v>48</v>
      </c>
      <c r="F29" s="3" t="s">
        <v>30</v>
      </c>
      <c r="G29" s="3">
        <v>22</v>
      </c>
      <c r="H29" s="3">
        <v>3500</v>
      </c>
      <c r="I29" s="3">
        <v>77000</v>
      </c>
      <c r="J29" s="3">
        <v>75000</v>
      </c>
    </row>
    <row r="30" spans="1:10" x14ac:dyDescent="0.3">
      <c r="A30" s="2" t="s">
        <v>90</v>
      </c>
      <c r="B30" s="2" t="s">
        <v>91</v>
      </c>
      <c r="C30" s="2" t="s">
        <v>12</v>
      </c>
      <c r="D30" s="2" t="s">
        <v>13</v>
      </c>
      <c r="E30" s="2" t="s">
        <v>14</v>
      </c>
      <c r="F30" s="2" t="s">
        <v>15</v>
      </c>
      <c r="G30" s="2">
        <v>6</v>
      </c>
      <c r="H30" s="2">
        <v>45000</v>
      </c>
      <c r="I30" s="2">
        <v>270000</v>
      </c>
      <c r="J30" s="2">
        <v>260000</v>
      </c>
    </row>
    <row r="31" spans="1:10" x14ac:dyDescent="0.3">
      <c r="A31" s="3" t="s">
        <v>92</v>
      </c>
      <c r="B31" s="3" t="s">
        <v>93</v>
      </c>
      <c r="C31" s="3" t="s">
        <v>18</v>
      </c>
      <c r="D31" s="3" t="s">
        <v>38</v>
      </c>
      <c r="E31" s="3" t="s">
        <v>35</v>
      </c>
      <c r="F31" s="3" t="s">
        <v>15</v>
      </c>
      <c r="G31" s="3">
        <v>9</v>
      </c>
      <c r="H31" s="3">
        <v>22000</v>
      </c>
      <c r="I31" s="3">
        <v>198000</v>
      </c>
      <c r="J31" s="3">
        <v>190000</v>
      </c>
    </row>
    <row r="32" spans="1:10" x14ac:dyDescent="0.3">
      <c r="A32" s="2" t="s">
        <v>94</v>
      </c>
      <c r="B32" s="2" t="s">
        <v>95</v>
      </c>
      <c r="C32" s="2" t="s">
        <v>46</v>
      </c>
      <c r="D32" s="2" t="s">
        <v>47</v>
      </c>
      <c r="E32" s="2" t="s">
        <v>20</v>
      </c>
      <c r="F32" s="2" t="s">
        <v>21</v>
      </c>
      <c r="G32" s="2">
        <v>12</v>
      </c>
      <c r="H32" s="2">
        <v>8500</v>
      </c>
      <c r="I32" s="2">
        <v>102000</v>
      </c>
      <c r="J32" s="2">
        <v>100000</v>
      </c>
    </row>
    <row r="33" spans="1:10" x14ac:dyDescent="0.3">
      <c r="A33" s="3" t="s">
        <v>96</v>
      </c>
      <c r="B33" s="3" t="s">
        <v>97</v>
      </c>
      <c r="C33" s="3" t="s">
        <v>33</v>
      </c>
      <c r="D33" s="3" t="s">
        <v>47</v>
      </c>
      <c r="E33" s="3" t="s">
        <v>14</v>
      </c>
      <c r="F33" s="3" t="s">
        <v>15</v>
      </c>
      <c r="G33" s="3">
        <v>5</v>
      </c>
      <c r="H33" s="3">
        <v>45000</v>
      </c>
      <c r="I33" s="3">
        <v>225000</v>
      </c>
      <c r="J33" s="3">
        <v>220000</v>
      </c>
    </row>
    <row r="34" spans="1:10" x14ac:dyDescent="0.3">
      <c r="A34" s="2" t="s">
        <v>98</v>
      </c>
      <c r="B34" s="2" t="s">
        <v>99</v>
      </c>
      <c r="C34" s="2" t="s">
        <v>24</v>
      </c>
      <c r="D34" s="2" t="s">
        <v>25</v>
      </c>
      <c r="E34" s="2" t="s">
        <v>29</v>
      </c>
      <c r="F34" s="2" t="s">
        <v>30</v>
      </c>
      <c r="G34" s="2">
        <v>28</v>
      </c>
      <c r="H34" s="2">
        <v>1200</v>
      </c>
      <c r="I34" s="2">
        <v>33600</v>
      </c>
      <c r="J34" s="2">
        <v>32000</v>
      </c>
    </row>
    <row r="35" spans="1:10" x14ac:dyDescent="0.3">
      <c r="A35" s="3" t="s">
        <v>100</v>
      </c>
      <c r="B35" s="3" t="s">
        <v>101</v>
      </c>
      <c r="C35" s="3" t="s">
        <v>12</v>
      </c>
      <c r="D35" s="3" t="s">
        <v>13</v>
      </c>
      <c r="E35" s="3" t="s">
        <v>35</v>
      </c>
      <c r="F35" s="3" t="s">
        <v>15</v>
      </c>
      <c r="G35" s="3">
        <v>7</v>
      </c>
      <c r="H35" s="3">
        <v>22000</v>
      </c>
      <c r="I35" s="3">
        <v>154000</v>
      </c>
      <c r="J35" s="3">
        <v>150000</v>
      </c>
    </row>
    <row r="36" spans="1:10" x14ac:dyDescent="0.3">
      <c r="A36" s="2" t="s">
        <v>102</v>
      </c>
      <c r="B36" s="2" t="s">
        <v>103</v>
      </c>
      <c r="C36" s="2" t="s">
        <v>46</v>
      </c>
      <c r="D36" s="2" t="s">
        <v>34</v>
      </c>
      <c r="E36" s="2" t="s">
        <v>48</v>
      </c>
      <c r="F36" s="2" t="s">
        <v>30</v>
      </c>
      <c r="G36" s="2">
        <v>25</v>
      </c>
      <c r="H36" s="2">
        <v>3500</v>
      </c>
      <c r="I36" s="2">
        <v>87500</v>
      </c>
      <c r="J36" s="2">
        <v>85000</v>
      </c>
    </row>
    <row r="37" spans="1:10" x14ac:dyDescent="0.3">
      <c r="A37" s="3" t="s">
        <v>104</v>
      </c>
      <c r="B37" s="3" t="s">
        <v>105</v>
      </c>
      <c r="C37" s="3" t="s">
        <v>18</v>
      </c>
      <c r="D37" s="3" t="s">
        <v>38</v>
      </c>
      <c r="E37" s="3" t="s">
        <v>14</v>
      </c>
      <c r="F37" s="3" t="s">
        <v>15</v>
      </c>
      <c r="G37" s="3">
        <v>5</v>
      </c>
      <c r="H37" s="3">
        <v>45000</v>
      </c>
      <c r="I37" s="3">
        <v>225000</v>
      </c>
      <c r="J37" s="3">
        <v>220000</v>
      </c>
    </row>
    <row r="38" spans="1:10" x14ac:dyDescent="0.3">
      <c r="A38" s="2" t="s">
        <v>106</v>
      </c>
      <c r="B38" s="2"/>
      <c r="C38" s="2" t="s">
        <v>33</v>
      </c>
      <c r="D38" s="2" t="s">
        <v>47</v>
      </c>
      <c r="E38" s="2" t="s">
        <v>20</v>
      </c>
      <c r="F38" s="2" t="s">
        <v>21</v>
      </c>
      <c r="G38" s="2">
        <v>11</v>
      </c>
      <c r="H38" s="2">
        <v>8500</v>
      </c>
      <c r="I38" s="2">
        <v>93500</v>
      </c>
      <c r="J38" s="2">
        <v>90000</v>
      </c>
    </row>
    <row r="39" spans="1:10" x14ac:dyDescent="0.3">
      <c r="A39" s="3" t="s">
        <v>107</v>
      </c>
      <c r="B39" s="3" t="s">
        <v>108</v>
      </c>
      <c r="C39" s="3" t="s">
        <v>109</v>
      </c>
      <c r="D39" s="3" t="s">
        <v>25</v>
      </c>
      <c r="E39" s="3" t="s">
        <v>35</v>
      </c>
      <c r="F39" s="3" t="s">
        <v>15</v>
      </c>
      <c r="G39" s="3">
        <v>6</v>
      </c>
      <c r="H39" s="3">
        <v>22000</v>
      </c>
      <c r="I39" s="3">
        <v>132000</v>
      </c>
      <c r="J39" s="3">
        <v>128000</v>
      </c>
    </row>
    <row r="40" spans="1:10" x14ac:dyDescent="0.3">
      <c r="A40" s="2" t="s">
        <v>110</v>
      </c>
      <c r="B40" s="2" t="s">
        <v>111</v>
      </c>
      <c r="C40" s="2" t="s">
        <v>12</v>
      </c>
      <c r="D40" s="2" t="s">
        <v>13</v>
      </c>
      <c r="E40" s="2" t="s">
        <v>48</v>
      </c>
      <c r="F40" s="2" t="s">
        <v>30</v>
      </c>
      <c r="G40" s="2">
        <v>35</v>
      </c>
      <c r="H40" s="2">
        <v>3500</v>
      </c>
      <c r="I40" s="2">
        <v>122500</v>
      </c>
      <c r="J40" s="2">
        <v>120000</v>
      </c>
    </row>
    <row r="41" spans="1:10" x14ac:dyDescent="0.3">
      <c r="A41" s="3" t="s">
        <v>112</v>
      </c>
      <c r="B41" s="3" t="s">
        <v>113</v>
      </c>
      <c r="C41" s="3" t="s">
        <v>46</v>
      </c>
      <c r="D41" s="3" t="s">
        <v>47</v>
      </c>
      <c r="E41" s="3" t="s">
        <v>14</v>
      </c>
      <c r="F41" s="3" t="s">
        <v>15</v>
      </c>
      <c r="G41" s="3">
        <v>4</v>
      </c>
      <c r="H41" s="3">
        <v>45000</v>
      </c>
      <c r="I41" s="3">
        <v>180000</v>
      </c>
      <c r="J41" s="3">
        <v>175000</v>
      </c>
    </row>
    <row r="42" spans="1:10" x14ac:dyDescent="0.3">
      <c r="A42" s="2" t="s">
        <v>114</v>
      </c>
      <c r="B42" s="2" t="s">
        <v>115</v>
      </c>
      <c r="C42" s="2" t="s">
        <v>18</v>
      </c>
      <c r="D42" s="2" t="s">
        <v>38</v>
      </c>
      <c r="E42" s="2" t="s">
        <v>29</v>
      </c>
      <c r="F42" s="2" t="s">
        <v>30</v>
      </c>
      <c r="G42" s="2">
        <v>30</v>
      </c>
      <c r="H42" s="2">
        <v>1200</v>
      </c>
      <c r="I42" s="2">
        <v>36000</v>
      </c>
      <c r="J42" s="2">
        <v>35000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Pivot1</vt:lpstr>
      <vt:lpstr>Pivot2</vt:lpstr>
      <vt:lpstr>Pivot3</vt:lpstr>
      <vt:lpstr>SalesData</vt:lpstr>
      <vt:lpstr>Dashboard</vt:lpstr>
      <vt:lpstr>Summary</vt:lpstr>
      <vt:lpstr>Raw 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Prerak Pathak</cp:lastModifiedBy>
  <dcterms:created xsi:type="dcterms:W3CDTF">2026-06-22T12:07:46Z</dcterms:created>
  <dcterms:modified xsi:type="dcterms:W3CDTF">2026-07-07T12:03:08Z</dcterms:modified>
</cp:coreProperties>
</file>